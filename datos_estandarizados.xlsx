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1 - Canteño" sheetId="1" state="visible" r:id="rId1"/>
    <sheet name="P2 - Daza Lorenzo" sheetId="2" state="visible" r:id="rId2"/>
    <sheet name="P3 - Pasquel" sheetId="3" state="visible" r:id="rId3"/>
    <sheet name="P4 - Alvar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3">
    <font>
      <name val="Arial"/>
      <color rgb="FF000000"/>
      <sz val="10"/>
      <scheme val="minor"/>
    </font>
    <font>
      <name val="Arial"/>
      <b val="1"/>
      <color rgb="FFFFFFFF"/>
      <sz val="11"/>
    </font>
    <font/>
    <font>
      <name val="Arial"/>
      <color rgb="FF37474F"/>
      <sz val="8"/>
    </font>
    <font>
      <name val="Arial"/>
      <b val="1"/>
      <color rgb="FFFFFFFF"/>
      <sz val="8"/>
    </font>
    <font>
      <name val="Arial"/>
      <color theme="1"/>
      <sz val="9"/>
    </font>
    <font>
      <name val="Arial"/>
      <b val="1"/>
      <color theme="1"/>
      <sz val="9"/>
    </font>
    <font>
      <name val="Arial"/>
      <b val="1"/>
      <color rgb="FFFFFFFF"/>
      <sz val="9"/>
    </font>
    <font>
      <name val="Arial"/>
      <b val="1"/>
      <color rgb="FF37474F"/>
      <sz val="8"/>
    </font>
    <font>
      <name val="Arial"/>
      <color rgb="FF546E7A"/>
      <sz val="8"/>
    </font>
    <font>
      <name val="Arial"/>
      <color theme="1"/>
    </font>
    <font>
      <name val="Calibri"/>
      <color theme="1"/>
      <sz val="11"/>
    </font>
    <font>
      <name val="Arial"/>
      <b val="1"/>
      <color rgb="FF1E3A5F"/>
      <sz val="8"/>
    </font>
  </fonts>
  <fills count="12">
    <fill>
      <patternFill/>
    </fill>
    <fill>
      <patternFill patternType="lightGray"/>
    </fill>
    <fill>
      <patternFill patternType="solid">
        <fgColor rgb="FF1E3A5F"/>
        <bgColor rgb="FF1E3A5F"/>
      </patternFill>
    </fill>
    <fill>
      <patternFill patternType="solid">
        <fgColor rgb="FFE8EAF6"/>
        <bgColor rgb="FFE8EAF6"/>
      </patternFill>
    </fill>
    <fill>
      <patternFill patternType="solid">
        <fgColor rgb="FF2E6DA4"/>
        <bgColor rgb="FF2E6DA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A5D6A7"/>
        <bgColor rgb="FFA5D6A7"/>
      </patternFill>
    </fill>
    <fill>
      <patternFill patternType="solid">
        <fgColor rgb="FFFFF59D"/>
        <bgColor rgb="FFFFF59D"/>
      </patternFill>
    </fill>
    <fill>
      <patternFill patternType="solid">
        <fgColor rgb="FFECEFF1"/>
        <bgColor rgb="FFECEFF1"/>
      </patternFill>
    </fill>
    <fill>
      <patternFill patternType="solid">
        <fgColor rgb="FFEF9A9A"/>
        <bgColor rgb="FFEF9A9A"/>
      </patternFill>
    </fill>
    <fill>
      <patternFill patternType="solid">
        <fgColor rgb="FFBBDEFB"/>
        <bgColor rgb="FFBBDEFB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51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0" fontId="2" fillId="0" borderId="2" pivotButton="0" quotePrefix="0" xfId="0"/>
    <xf numFmtId="0" fontId="2" fillId="0" borderId="3" pivotButton="0" quotePrefix="0" xfId="0"/>
    <xf numFmtId="0" fontId="3" fillId="3" borderId="1" applyAlignment="1" pivotButton="0" quotePrefix="0" xfId="0">
      <alignment horizontal="center"/>
    </xf>
    <xf numFmtId="0" fontId="4" fillId="4" borderId="4" applyAlignment="1" pivotButton="0" quotePrefix="0" xfId="0">
      <alignment horizontal="center" wrapText="1"/>
    </xf>
    <xf numFmtId="0" fontId="4" fillId="4" borderId="4" applyAlignment="1" pivotButton="0" quotePrefix="0" xfId="0">
      <alignment horizontal="center" wrapText="1"/>
    </xf>
    <xf numFmtId="0" fontId="5" fillId="5" borderId="4" applyAlignment="1" pivotButton="0" quotePrefix="0" xfId="0">
      <alignment horizontal="center"/>
    </xf>
    <xf numFmtId="0" fontId="5" fillId="5" borderId="4" pivotButton="0" quotePrefix="0" xfId="0"/>
    <xf numFmtId="0" fontId="5" fillId="6" borderId="4" pivotButton="0" quotePrefix="0" xfId="0"/>
    <xf numFmtId="164" fontId="5" fillId="5" borderId="4" applyAlignment="1" pivotButton="0" quotePrefix="0" xfId="0">
      <alignment horizontal="center"/>
    </xf>
    <xf numFmtId="164" fontId="5" fillId="7" borderId="4" applyAlignment="1" pivotButton="0" quotePrefix="0" xfId="0">
      <alignment horizontal="center"/>
    </xf>
    <xf numFmtId="0" fontId="6" fillId="7" borderId="4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0" fontId="5" fillId="6" borderId="4" pivotButton="0" quotePrefix="0" xfId="0"/>
    <xf numFmtId="164" fontId="5" fillId="6" borderId="4" applyAlignment="1" pivotButton="0" quotePrefix="0" xfId="0">
      <alignment horizontal="center"/>
    </xf>
    <xf numFmtId="164" fontId="5" fillId="8" borderId="4" applyAlignment="1" pivotButton="0" quotePrefix="0" xfId="0">
      <alignment horizontal="center"/>
    </xf>
    <xf numFmtId="0" fontId="6" fillId="8" borderId="4" applyAlignment="1" pivotButton="0" quotePrefix="0" xfId="0">
      <alignment horizontal="center"/>
    </xf>
    <xf numFmtId="0" fontId="5" fillId="5" borderId="4" pivotButton="0" quotePrefix="0" xfId="0"/>
    <xf numFmtId="0" fontId="7" fillId="4" borderId="1" pivotButton="0" quotePrefix="0" xfId="0"/>
    <xf numFmtId="0" fontId="8" fillId="0" borderId="4" applyAlignment="1" pivotButton="0" quotePrefix="0" xfId="0">
      <alignment wrapText="1"/>
    </xf>
    <xf numFmtId="0" fontId="9" fillId="0" borderId="1" applyAlignment="1" pivotButton="0" quotePrefix="0" xfId="0">
      <alignment wrapText="1"/>
    </xf>
    <xf numFmtId="0" fontId="8" fillId="0" borderId="4" applyAlignment="1" pivotButton="0" quotePrefix="0" xfId="0">
      <alignment wrapText="1"/>
    </xf>
    <xf numFmtId="0" fontId="10" fillId="0" borderId="0" pivotButton="0" quotePrefix="0" xfId="0"/>
    <xf numFmtId="0" fontId="11" fillId="5" borderId="4" pivotButton="0" quotePrefix="0" xfId="0"/>
    <xf numFmtId="0" fontId="5" fillId="5" borderId="4" applyAlignment="1" pivotButton="0" quotePrefix="0" xfId="0">
      <alignment horizontal="center"/>
    </xf>
    <xf numFmtId="0" fontId="5" fillId="6" borderId="4" applyAlignment="1" pivotButton="0" quotePrefix="0" xfId="0">
      <alignment horizontal="center"/>
    </xf>
    <xf numFmtId="164" fontId="5" fillId="6" borderId="4" applyAlignment="1" pivotButton="0" quotePrefix="0" xfId="0">
      <alignment horizontal="center"/>
    </xf>
    <xf numFmtId="0" fontId="6" fillId="8" borderId="4" applyAlignment="1" pivotButton="0" quotePrefix="0" xfId="0">
      <alignment horizontal="center"/>
    </xf>
    <xf numFmtId="0" fontId="11" fillId="6" borderId="4" pivotButton="0" quotePrefix="0" xfId="0"/>
    <xf numFmtId="0" fontId="8" fillId="0" borderId="4" pivotButton="0" quotePrefix="0" xfId="0"/>
    <xf numFmtId="0" fontId="12" fillId="9" borderId="4" applyAlignment="1" pivotButton="0" quotePrefix="0" xfId="0">
      <alignment wrapText="1"/>
    </xf>
    <xf numFmtId="0" fontId="3" fillId="0" borderId="1" applyAlignment="1" pivotButton="0" quotePrefix="0" xfId="0">
      <alignment wrapText="1"/>
    </xf>
    <xf numFmtId="0" fontId="10" fillId="0" borderId="0" pivotButton="0" quotePrefix="0" xfId="0"/>
    <xf numFmtId="164" fontId="1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6" fillId="10" borderId="4" applyAlignment="1" pivotButton="0" quotePrefix="0" xfId="0">
      <alignment horizontal="center"/>
    </xf>
    <xf numFmtId="0" fontId="5" fillId="11" borderId="4" applyAlignment="1" pivotButton="0" quotePrefix="0" xfId="0">
      <alignment horizontal="center"/>
    </xf>
    <xf numFmtId="0" fontId="11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/>
    </xf>
    <xf numFmtId="164" fontId="5" fillId="5" borderId="4" applyAlignment="1" pivotButton="0" quotePrefix="0" xfId="0">
      <alignment horizontal="center"/>
    </xf>
    <xf numFmtId="0" fontId="6" fillId="10" borderId="4" applyAlignment="1" pivotButton="0" quotePrefix="0" xfId="0">
      <alignment horizontal="center"/>
    </xf>
    <xf numFmtId="0" fontId="6" fillId="7" borderId="4" applyAlignment="1" pivotButton="0" quotePrefix="0" xfId="0">
      <alignment horizontal="center" vertical="bottom"/>
    </xf>
    <xf numFmtId="0" fontId="0" fillId="0" borderId="0" pivotButton="0" quotePrefix="0" xfId="0"/>
    <xf numFmtId="0" fontId="1" fillId="2" borderId="5" applyAlignment="1" pivotButton="0" quotePrefix="0" xfId="0">
      <alignment horizontal="center"/>
    </xf>
    <xf numFmtId="0" fontId="0" fillId="0" borderId="2" pivotButton="0" quotePrefix="0" xfId="0"/>
    <xf numFmtId="0" fontId="3" fillId="3" borderId="5" applyAlignment="1" pivotButton="0" quotePrefix="0" xfId="0">
      <alignment horizontal="center"/>
    </xf>
    <xf numFmtId="0" fontId="7" fillId="4" borderId="5" pivotButton="0" quotePrefix="0" xfId="0"/>
    <xf numFmtId="0" fontId="1" fillId="2" borderId="5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P7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4" min="1" max="1"/>
    <col width="34.63" customWidth="1" style="44" min="2" max="2"/>
    <col width="41.13" customWidth="1" style="44" min="3" max="3"/>
    <col width="11.5" customWidth="1" style="44" min="4" max="4"/>
    <col width="10.5" customWidth="1" style="44" min="5" max="5"/>
    <col width="12.63" customWidth="1" style="44" min="6" max="7"/>
  </cols>
  <sheetData>
    <row r="1" ht="15.75" customHeight="1" s="44">
      <c r="A1" s="45" t="inlineStr">
        <is>
          <t>DATOS ESTANDARIZADOS – M1 | Diseño de Servicios Públicos Interoperables | Canteño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</row>
    <row r="2" ht="15.75" customHeight="1" s="44">
      <c r="A2" s="47" t="inlineStr">
        <is>
          <t>Semaforización CEPLAN (Resolución N° 0056-2024-Ceplan/PCD):   🟢 Verde [95–100]   |   🟡 Amarillo [75–95&gt;   |   🔴 Rojo [0–75&gt;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</row>
    <row r="3" ht="15.75" customHeight="1" s="44">
      <c r="A3" s="6" t="inlineStr">
        <is>
          <t>CÓDIGO DE
PROCESO</t>
        </is>
      </c>
      <c r="B3" s="6" t="inlineStr">
        <is>
          <t>PROCESO</t>
        </is>
      </c>
      <c r="C3" s="6" t="inlineStr">
        <is>
          <t>INDICADOR</t>
        </is>
      </c>
      <c r="D3" s="6" t="inlineStr">
        <is>
          <t>Sentido Indicador</t>
        </is>
      </c>
      <c r="E3" s="6" t="inlineStr">
        <is>
          <t>Unidad</t>
        </is>
      </c>
      <c r="F3" s="6" t="inlineStr">
        <is>
          <t>META
FINAL</t>
        </is>
      </c>
      <c r="G3" s="6" t="inlineStr">
        <is>
          <t>AÑO</t>
        </is>
      </c>
      <c r="H3" s="6" t="inlineStr">
        <is>
          <t>MES</t>
        </is>
      </c>
      <c r="I3" s="6" t="inlineStr">
        <is>
          <t>NUMERADOR
(cantidad)</t>
        </is>
      </c>
      <c r="J3" s="6" t="inlineStr">
        <is>
          <t>DENOMINADOR
(cantidad)</t>
        </is>
      </c>
      <c r="K3" s="6" t="inlineStr">
        <is>
          <t>RESULTADO
ESPERADO (%)</t>
        </is>
      </c>
      <c r="L3" s="6" t="inlineStr">
        <is>
          <t>RESULTADO
OBTENIDO (%)</t>
        </is>
      </c>
      <c r="M3" s="6" t="inlineStr">
        <is>
          <t>DIFERENCIA
(pp)</t>
        </is>
      </c>
      <c r="N3" s="6" t="inlineStr">
        <is>
          <t>AVANCE T1
(%)</t>
        </is>
      </c>
      <c r="O3" s="6" t="inlineStr">
        <is>
          <t>SEMÁFORO
CEPLAN</t>
        </is>
      </c>
      <c r="P3" s="0" t="inlineStr">
        <is>
          <t>Relevancia</t>
        </is>
      </c>
    </row>
    <row r="4" ht="15.75" customHeight="1" s="44">
      <c r="A4" s="25" t="inlineStr">
        <is>
          <t>M1.1</t>
        </is>
      </c>
      <c r="B4" s="18" t="inlineStr">
        <is>
          <t>Identificación de necesidades del servicio</t>
        </is>
      </c>
      <c r="C4" s="14" t="inlineStr">
        <is>
          <t>% de requerimientos correctamente identificados</t>
        </is>
      </c>
      <c r="D4" s="14" t="inlineStr">
        <is>
          <t>Ascendente</t>
        </is>
      </c>
      <c r="E4" s="14" t="inlineStr">
        <is>
          <t>%</t>
        </is>
      </c>
      <c r="F4" s="25" t="n">
        <v>90</v>
      </c>
      <c r="G4" s="25" t="n">
        <v>2026</v>
      </c>
      <c r="H4" s="25" t="inlineStr">
        <is>
          <t>Enero</t>
        </is>
      </c>
      <c r="I4" s="25" t="n">
        <v>4</v>
      </c>
      <c r="J4" s="25" t="n">
        <v>25</v>
      </c>
      <c r="K4" s="25" t="n">
        <v>15</v>
      </c>
      <c r="L4" s="41" t="n">
        <v>16</v>
      </c>
      <c r="M4" s="41" t="n">
        <v>1</v>
      </c>
      <c r="N4" s="11" t="n">
        <v>100</v>
      </c>
      <c r="O4" s="12" t="inlineStr">
        <is>
          <t>Verde</t>
        </is>
      </c>
      <c r="P4" s="0" t="n">
        <v>1</v>
      </c>
    </row>
    <row r="5" ht="15.75" customHeight="1" s="44">
      <c r="A5" s="26" t="inlineStr">
        <is>
          <t>M1.1</t>
        </is>
      </c>
      <c r="B5" s="14" t="inlineStr">
        <is>
          <t>Identificación de necesidades del servicio</t>
        </is>
      </c>
      <c r="C5" s="14" t="inlineStr">
        <is>
          <t>% de requerimientos correctamente identificados</t>
        </is>
      </c>
      <c r="D5" s="14" t="inlineStr">
        <is>
          <t>Ascendente</t>
        </is>
      </c>
      <c r="E5" s="14" t="inlineStr">
        <is>
          <t>%</t>
        </is>
      </c>
      <c r="F5" s="26" t="n">
        <v>90</v>
      </c>
      <c r="G5" s="26" t="n">
        <v>2026</v>
      </c>
      <c r="H5" s="26" t="inlineStr">
        <is>
          <t>Febrero</t>
        </is>
      </c>
      <c r="I5" s="26" t="n">
        <v>7</v>
      </c>
      <c r="J5" s="26" t="n">
        <v>26</v>
      </c>
      <c r="K5" s="26" t="n">
        <v>25</v>
      </c>
      <c r="L5" s="27" t="n">
        <v>27</v>
      </c>
      <c r="M5" s="27" t="n">
        <v>2</v>
      </c>
      <c r="N5" s="11" t="n">
        <v>100</v>
      </c>
      <c r="O5" s="12" t="inlineStr">
        <is>
          <t>Verde</t>
        </is>
      </c>
      <c r="P5" s="0" t="n">
        <v>1</v>
      </c>
    </row>
    <row r="6" ht="15.75" customHeight="1" s="44">
      <c r="A6" s="25" t="inlineStr">
        <is>
          <t>M1.1</t>
        </is>
      </c>
      <c r="B6" s="18" t="inlineStr">
        <is>
          <t>Identificación de necesidades del servicio</t>
        </is>
      </c>
      <c r="C6" s="14" t="inlineStr">
        <is>
          <t>% de requerimientos correctamente identificados</t>
        </is>
      </c>
      <c r="D6" s="14" t="inlineStr">
        <is>
          <t>Ascendente</t>
        </is>
      </c>
      <c r="E6" s="14" t="inlineStr">
        <is>
          <t>%</t>
        </is>
      </c>
      <c r="F6" s="25" t="n">
        <v>90</v>
      </c>
      <c r="G6" s="25" t="n">
        <v>2026</v>
      </c>
      <c r="H6" s="25" t="inlineStr">
        <is>
          <t>Marzo</t>
        </is>
      </c>
      <c r="I6" s="25" t="n">
        <v>14</v>
      </c>
      <c r="J6" s="25" t="n">
        <v>30</v>
      </c>
      <c r="K6" s="25" t="n">
        <v>45</v>
      </c>
      <c r="L6" s="41" t="n">
        <v>46</v>
      </c>
      <c r="M6" s="41" t="n">
        <v>1</v>
      </c>
      <c r="N6" s="11" t="n">
        <v>100</v>
      </c>
      <c r="O6" s="12" t="inlineStr">
        <is>
          <t>Verde</t>
        </is>
      </c>
      <c r="P6" s="0" t="n">
        <v>1</v>
      </c>
    </row>
    <row r="7" ht="15.75" customHeight="1" s="44">
      <c r="A7" s="26" t="inlineStr">
        <is>
          <t>M1.1</t>
        </is>
      </c>
      <c r="B7" s="14" t="inlineStr">
        <is>
          <t>Identificación de necesidades del servicio</t>
        </is>
      </c>
      <c r="C7" s="14" t="inlineStr">
        <is>
          <t>% de requerimientos correctamente identificados</t>
        </is>
      </c>
      <c r="D7" s="14" t="inlineStr">
        <is>
          <t>Ascendente</t>
        </is>
      </c>
      <c r="E7" s="14" t="inlineStr">
        <is>
          <t>%</t>
        </is>
      </c>
      <c r="F7" s="26" t="n">
        <v>90</v>
      </c>
      <c r="G7" s="26" t="n">
        <v>2026</v>
      </c>
      <c r="H7" s="26" t="inlineStr">
        <is>
          <t>Abril</t>
        </is>
      </c>
      <c r="I7" s="26" t="n">
        <v>20</v>
      </c>
      <c r="J7" s="26" t="n">
        <v>32</v>
      </c>
      <c r="K7" s="26" t="n">
        <v>60</v>
      </c>
      <c r="L7" s="27" t="n">
        <v>62</v>
      </c>
      <c r="M7" s="27" t="n">
        <v>2</v>
      </c>
      <c r="N7" s="11" t="n">
        <v>100</v>
      </c>
      <c r="O7" s="12" t="inlineStr">
        <is>
          <t>Verde</t>
        </is>
      </c>
      <c r="P7" s="0" t="n">
        <v>1</v>
      </c>
    </row>
    <row r="8" ht="15.75" customHeight="1" s="44">
      <c r="A8" s="25" t="inlineStr">
        <is>
          <t>M1.1</t>
        </is>
      </c>
      <c r="B8" s="18" t="inlineStr">
        <is>
          <t>Identificación de necesidades del servicio</t>
        </is>
      </c>
      <c r="C8" s="14" t="inlineStr">
        <is>
          <t>% de requerimientos correctamente identificados</t>
        </is>
      </c>
      <c r="D8" s="14" t="inlineStr">
        <is>
          <t>Ascendente</t>
        </is>
      </c>
      <c r="E8" s="14" t="inlineStr">
        <is>
          <t>%</t>
        </is>
      </c>
      <c r="F8" s="25" t="n">
        <v>90</v>
      </c>
      <c r="G8" s="25" t="n">
        <v>2026</v>
      </c>
      <c r="H8" s="25" t="inlineStr">
        <is>
          <t>Mayo</t>
        </is>
      </c>
      <c r="I8" s="25" t="n">
        <v>25</v>
      </c>
      <c r="J8" s="25" t="n">
        <v>32</v>
      </c>
      <c r="K8" s="25" t="n">
        <v>75</v>
      </c>
      <c r="L8" s="41" t="n">
        <v>77</v>
      </c>
      <c r="M8" s="41" t="n">
        <v>2</v>
      </c>
      <c r="N8" s="11" t="n">
        <v>100</v>
      </c>
      <c r="O8" s="12" t="inlineStr">
        <is>
          <t>Verde</t>
        </is>
      </c>
      <c r="P8" s="0" t="n">
        <v>1</v>
      </c>
    </row>
    <row r="9" ht="15.75" customHeight="1" s="44">
      <c r="A9" s="26" t="inlineStr">
        <is>
          <t>M1.2</t>
        </is>
      </c>
      <c r="B9" s="14" t="inlineStr">
        <is>
          <t>Análisis del proceso actual</t>
        </is>
      </c>
      <c r="C9" s="14" t="inlineStr">
        <is>
          <t>% de procesos analizados completamente (AS-IS)</t>
        </is>
      </c>
      <c r="D9" s="14" t="inlineStr">
        <is>
          <t>Ascendente</t>
        </is>
      </c>
      <c r="E9" s="14" t="inlineStr">
        <is>
          <t>%</t>
        </is>
      </c>
      <c r="F9" s="26" t="n">
        <v>95</v>
      </c>
      <c r="G9" s="26" t="n">
        <v>2026</v>
      </c>
      <c r="H9" s="26" t="inlineStr">
        <is>
          <t>Enero</t>
        </is>
      </c>
      <c r="I9" s="26" t="n">
        <v>2</v>
      </c>
      <c r="J9" s="26" t="n">
        <v>18</v>
      </c>
      <c r="K9" s="26" t="n">
        <v>10</v>
      </c>
      <c r="L9" s="27" t="n">
        <v>11</v>
      </c>
      <c r="M9" s="27" t="n">
        <v>1</v>
      </c>
      <c r="N9" s="11" t="n">
        <v>100</v>
      </c>
      <c r="O9" s="12" t="inlineStr">
        <is>
          <t>Verde</t>
        </is>
      </c>
      <c r="P9" s="0" t="n">
        <v>2</v>
      </c>
    </row>
    <row r="10" ht="15.75" customHeight="1" s="44">
      <c r="A10" s="25" t="inlineStr">
        <is>
          <t>M1.2</t>
        </is>
      </c>
      <c r="B10" s="18" t="inlineStr">
        <is>
          <t>Análisis del proceso actual</t>
        </is>
      </c>
      <c r="C10" s="14" t="inlineStr">
        <is>
          <t>% de procesos analizados completamente (AS-IS)</t>
        </is>
      </c>
      <c r="D10" s="14" t="inlineStr">
        <is>
          <t>Ascendente</t>
        </is>
      </c>
      <c r="E10" s="14" t="inlineStr">
        <is>
          <t>%</t>
        </is>
      </c>
      <c r="F10" s="25" t="n">
        <v>95</v>
      </c>
      <c r="G10" s="25" t="n">
        <v>2026</v>
      </c>
      <c r="H10" s="25" t="inlineStr">
        <is>
          <t>Febrero</t>
        </is>
      </c>
      <c r="I10" s="25" t="n">
        <v>4</v>
      </c>
      <c r="J10" s="25" t="n">
        <v>18</v>
      </c>
      <c r="K10" s="25" t="n">
        <v>25</v>
      </c>
      <c r="L10" s="41" t="n">
        <v>22</v>
      </c>
      <c r="M10" s="41" t="n">
        <v>-3</v>
      </c>
      <c r="N10" s="16" t="n">
        <v>88</v>
      </c>
      <c r="O10" s="28" t="inlineStr">
        <is>
          <t>Amarillo</t>
        </is>
      </c>
      <c r="P10" s="0" t="n">
        <v>2</v>
      </c>
    </row>
    <row r="11" ht="15.75" customHeight="1" s="44">
      <c r="A11" s="26" t="inlineStr">
        <is>
          <t>M1.2</t>
        </is>
      </c>
      <c r="B11" s="14" t="inlineStr">
        <is>
          <t>Análisis del proceso actual</t>
        </is>
      </c>
      <c r="C11" s="14" t="inlineStr">
        <is>
          <t>% de procesos analizados completamente (AS-IS)</t>
        </is>
      </c>
      <c r="D11" s="14" t="inlineStr">
        <is>
          <t>Ascendente</t>
        </is>
      </c>
      <c r="E11" s="14" t="inlineStr">
        <is>
          <t>%</t>
        </is>
      </c>
      <c r="F11" s="26" t="n">
        <v>95</v>
      </c>
      <c r="G11" s="26" t="n">
        <v>2026</v>
      </c>
      <c r="H11" s="26" t="inlineStr">
        <is>
          <t>Marzo</t>
        </is>
      </c>
      <c r="I11" s="26" t="n">
        <v>10</v>
      </c>
      <c r="J11" s="26" t="n">
        <v>21</v>
      </c>
      <c r="K11" s="26" t="n">
        <v>45</v>
      </c>
      <c r="L11" s="27" t="n">
        <v>47</v>
      </c>
      <c r="M11" s="27" t="n">
        <v>2</v>
      </c>
      <c r="N11" s="11" t="n">
        <v>100</v>
      </c>
      <c r="O11" s="12" t="inlineStr">
        <is>
          <t>Verde</t>
        </is>
      </c>
      <c r="P11" s="0" t="n">
        <v>2</v>
      </c>
    </row>
    <row r="12" ht="15.75" customHeight="1" s="44">
      <c r="A12" s="25" t="inlineStr">
        <is>
          <t>M1.2</t>
        </is>
      </c>
      <c r="B12" s="18" t="inlineStr">
        <is>
          <t>Análisis del proceso actual</t>
        </is>
      </c>
      <c r="C12" s="14" t="inlineStr">
        <is>
          <t>% de procesos analizados completamente (AS-IS)</t>
        </is>
      </c>
      <c r="D12" s="14" t="inlineStr">
        <is>
          <t>Ascendente</t>
        </is>
      </c>
      <c r="E12" s="14" t="inlineStr">
        <is>
          <t>%</t>
        </is>
      </c>
      <c r="F12" s="25" t="n">
        <v>95</v>
      </c>
      <c r="G12" s="25" t="n">
        <v>2026</v>
      </c>
      <c r="H12" s="25" t="inlineStr">
        <is>
          <t>Abril</t>
        </is>
      </c>
      <c r="I12" s="25" t="n">
        <v>13</v>
      </c>
      <c r="J12" s="25" t="n">
        <v>23</v>
      </c>
      <c r="K12" s="25" t="n">
        <v>60</v>
      </c>
      <c r="L12" s="41" t="n">
        <v>56</v>
      </c>
      <c r="M12" s="41" t="n">
        <v>-4</v>
      </c>
      <c r="N12" s="16" t="n">
        <v>93.3</v>
      </c>
      <c r="O12" s="28" t="inlineStr">
        <is>
          <t>Amarillo</t>
        </is>
      </c>
      <c r="P12" s="0" t="n">
        <v>2</v>
      </c>
    </row>
    <row r="13" ht="15.75" customHeight="1" s="44">
      <c r="A13" s="26" t="inlineStr">
        <is>
          <t>M1.2</t>
        </is>
      </c>
      <c r="B13" s="14" t="inlineStr">
        <is>
          <t>Análisis del proceso actual</t>
        </is>
      </c>
      <c r="C13" s="14" t="inlineStr">
        <is>
          <t>% de procesos analizados completamente (AS-IS)</t>
        </is>
      </c>
      <c r="D13" s="14" t="inlineStr">
        <is>
          <t>Ascendente</t>
        </is>
      </c>
      <c r="E13" s="14" t="inlineStr">
        <is>
          <t>%</t>
        </is>
      </c>
      <c r="F13" s="26" t="n">
        <v>95</v>
      </c>
      <c r="G13" s="26" t="n">
        <v>2026</v>
      </c>
      <c r="H13" s="26" t="inlineStr">
        <is>
          <t>Mayo</t>
        </is>
      </c>
      <c r="I13" s="26" t="n">
        <v>19</v>
      </c>
      <c r="J13" s="26" t="n">
        <v>23</v>
      </c>
      <c r="K13" s="26" t="n">
        <v>85</v>
      </c>
      <c r="L13" s="27" t="n">
        <v>81</v>
      </c>
      <c r="M13" s="27" t="n">
        <v>-4</v>
      </c>
      <c r="N13" s="11" t="n">
        <v>95.3</v>
      </c>
      <c r="O13" s="12" t="inlineStr">
        <is>
          <t>Verde</t>
        </is>
      </c>
      <c r="P13" s="0" t="n">
        <v>2</v>
      </c>
    </row>
    <row r="14" ht="15.75" customHeight="1" s="44">
      <c r="A14" s="25" t="inlineStr">
        <is>
          <t>M1.3</t>
        </is>
      </c>
      <c r="B14" s="18" t="inlineStr">
        <is>
          <t>Diseño del servicio interoperable</t>
        </is>
      </c>
      <c r="C14" s="18" t="inlineStr">
        <is>
          <t>% de diseños de servicios aprobados sin observaciones</t>
        </is>
      </c>
      <c r="D14" s="14" t="inlineStr">
        <is>
          <t>Ascendente</t>
        </is>
      </c>
      <c r="E14" s="14" t="inlineStr">
        <is>
          <t>%</t>
        </is>
      </c>
      <c r="F14" s="25" t="n">
        <v>90</v>
      </c>
      <c r="G14" s="25" t="n">
        <v>2026</v>
      </c>
      <c r="H14" s="25" t="inlineStr">
        <is>
          <t>Enero</t>
        </is>
      </c>
      <c r="I14" s="25" t="n">
        <v>2</v>
      </c>
      <c r="J14" s="25" t="n">
        <v>17</v>
      </c>
      <c r="K14" s="25" t="n">
        <v>10</v>
      </c>
      <c r="L14" s="41" t="n">
        <v>12</v>
      </c>
      <c r="M14" s="41" t="n">
        <v>2</v>
      </c>
      <c r="N14" s="11" t="n">
        <v>100</v>
      </c>
      <c r="O14" s="12" t="inlineStr">
        <is>
          <t>Verde</t>
        </is>
      </c>
      <c r="P14" t="n">
        <v>3</v>
      </c>
    </row>
    <row r="15" ht="15.75" customHeight="1" s="44">
      <c r="A15" s="26" t="inlineStr">
        <is>
          <t>M1.3</t>
        </is>
      </c>
      <c r="B15" s="14" t="inlineStr">
        <is>
          <t>Diseño del servicio interoperable</t>
        </is>
      </c>
      <c r="C15" s="18" t="inlineStr">
        <is>
          <t>% de diseños de servicios aprobados sin observaciones</t>
        </is>
      </c>
      <c r="D15" s="14" t="inlineStr">
        <is>
          <t>Ascendente</t>
        </is>
      </c>
      <c r="E15" s="14" t="inlineStr">
        <is>
          <t>%</t>
        </is>
      </c>
      <c r="F15" s="26" t="n">
        <v>90</v>
      </c>
      <c r="G15" s="26" t="n">
        <v>2026</v>
      </c>
      <c r="H15" s="26" t="inlineStr">
        <is>
          <t>Febrero</t>
        </is>
      </c>
      <c r="I15" s="26" t="n">
        <v>5</v>
      </c>
      <c r="J15" s="26" t="n">
        <v>19</v>
      </c>
      <c r="K15" s="26" t="n">
        <v>25</v>
      </c>
      <c r="L15" s="27" t="n">
        <v>26</v>
      </c>
      <c r="M15" s="27" t="n">
        <v>1</v>
      </c>
      <c r="N15" s="11" t="n">
        <v>100</v>
      </c>
      <c r="O15" s="12" t="inlineStr">
        <is>
          <t>Verde</t>
        </is>
      </c>
      <c r="P15" t="n">
        <v>3</v>
      </c>
    </row>
    <row r="16" ht="15.75" customHeight="1" s="44">
      <c r="A16" s="25" t="inlineStr">
        <is>
          <t>M1.3</t>
        </is>
      </c>
      <c r="B16" s="18" t="inlineStr">
        <is>
          <t>Diseño del servicio interoperable</t>
        </is>
      </c>
      <c r="C16" s="18" t="inlineStr">
        <is>
          <t>% de diseños de servicios aprobados sin observaciones</t>
        </is>
      </c>
      <c r="D16" s="14" t="inlineStr">
        <is>
          <t>Ascendente</t>
        </is>
      </c>
      <c r="E16" s="14" t="inlineStr">
        <is>
          <t>%</t>
        </is>
      </c>
      <c r="F16" s="25" t="n">
        <v>90</v>
      </c>
      <c r="G16" s="25" t="n">
        <v>2026</v>
      </c>
      <c r="H16" s="25" t="inlineStr">
        <is>
          <t>Marzo</t>
        </is>
      </c>
      <c r="I16" s="25" t="n">
        <v>10</v>
      </c>
      <c r="J16" s="25" t="n">
        <v>22</v>
      </c>
      <c r="K16" s="25" t="n">
        <v>45</v>
      </c>
      <c r="L16" s="41" t="n">
        <v>46</v>
      </c>
      <c r="M16" s="41" t="n">
        <v>1</v>
      </c>
      <c r="N16" s="11" t="n">
        <v>100</v>
      </c>
      <c r="O16" s="12" t="inlineStr">
        <is>
          <t>Verde</t>
        </is>
      </c>
      <c r="P16" t="n">
        <v>3</v>
      </c>
    </row>
    <row r="17" ht="15.75" customHeight="1" s="44">
      <c r="A17" s="26" t="inlineStr">
        <is>
          <t>M1.3</t>
        </is>
      </c>
      <c r="B17" s="14" t="inlineStr">
        <is>
          <t>Diseño del servicio interoperable</t>
        </is>
      </c>
      <c r="C17" s="18" t="inlineStr">
        <is>
          <t>% de diseños de servicios aprobados sin observaciones</t>
        </is>
      </c>
      <c r="D17" s="14" t="inlineStr">
        <is>
          <t>Ascendente</t>
        </is>
      </c>
      <c r="E17" s="14" t="inlineStr">
        <is>
          <t>%</t>
        </is>
      </c>
      <c r="F17" s="26" t="n">
        <v>90</v>
      </c>
      <c r="G17" s="26" t="n">
        <v>2026</v>
      </c>
      <c r="H17" s="26" t="inlineStr">
        <is>
          <t>Abril</t>
        </is>
      </c>
      <c r="I17" s="26" t="n">
        <v>14</v>
      </c>
      <c r="J17" s="26" t="n">
        <v>23</v>
      </c>
      <c r="K17" s="26" t="n">
        <v>60</v>
      </c>
      <c r="L17" s="27" t="n">
        <v>61</v>
      </c>
      <c r="M17" s="27" t="n">
        <v>1</v>
      </c>
      <c r="N17" s="11" t="n">
        <v>100</v>
      </c>
      <c r="O17" s="12" t="inlineStr">
        <is>
          <t>Verde</t>
        </is>
      </c>
      <c r="P17" t="n">
        <v>3</v>
      </c>
    </row>
    <row r="18" ht="15.75" customHeight="1" s="44">
      <c r="A18" s="25" t="inlineStr">
        <is>
          <t>M1.3</t>
        </is>
      </c>
      <c r="B18" s="18" t="inlineStr">
        <is>
          <t>Diseño del servicio interoperable</t>
        </is>
      </c>
      <c r="C18" s="18" t="inlineStr">
        <is>
          <t>% de diseños de servicios aprobados sin observaciones</t>
        </is>
      </c>
      <c r="D18" s="14" t="inlineStr">
        <is>
          <t>Ascendente</t>
        </is>
      </c>
      <c r="E18" s="14" t="inlineStr">
        <is>
          <t>%</t>
        </is>
      </c>
      <c r="F18" s="25" t="n">
        <v>90</v>
      </c>
      <c r="G18" s="25" t="n">
        <v>2026</v>
      </c>
      <c r="H18" s="25" t="inlineStr">
        <is>
          <t>Mayo</t>
        </is>
      </c>
      <c r="I18" s="25" t="n">
        <v>19</v>
      </c>
      <c r="J18" s="25" t="n">
        <v>25</v>
      </c>
      <c r="K18" s="25" t="n">
        <v>75</v>
      </c>
      <c r="L18" s="41" t="n">
        <v>77</v>
      </c>
      <c r="M18" s="41" t="n">
        <v>2</v>
      </c>
      <c r="N18" s="11" t="n">
        <v>100</v>
      </c>
      <c r="O18" s="12" t="inlineStr">
        <is>
          <t>Verde</t>
        </is>
      </c>
      <c r="P18" t="n">
        <v>3</v>
      </c>
    </row>
    <row r="19" ht="15.75" customHeight="1" s="44"/>
    <row r="20" ht="15.75" customHeight="1" s="44"/>
    <row r="21" ht="15.75" customHeight="1" s="44">
      <c r="A21" s="48" t="inlineStr">
        <is>
          <t>FÓRMULAS APLICADAS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</row>
    <row r="22" ht="15.75" customHeight="1" s="44">
      <c r="A22" s="22" t="inlineStr">
        <is>
          <t>PORCENTAJE</t>
        </is>
      </c>
      <c r="B22" s="21" t="inlineStr">
        <is>
          <t>(NUMERADOR / DENOMINADOR) × 100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</row>
    <row r="23" ht="15.75" customHeight="1" s="44">
      <c r="A23" s="22" t="inlineStr">
        <is>
          <t>AVANCE_T1</t>
        </is>
      </c>
      <c r="B23" s="21" t="inlineStr">
        <is>
          <t>min((RESULTADO_OBTENIDO / RESULTADO_ESPERADO) × 100 , 100)  — Directiva CEPLAN, indicador ascendente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</row>
    <row r="24" ht="15.75" customHeight="1" s="44">
      <c r="A24" s="22" t="inlineStr">
        <is>
          <t>SEMAFORO CEPLAN</t>
        </is>
      </c>
      <c r="B24" s="21" t="inlineStr">
        <is>
          <t>Verde ≥ 95  |  Amarillo ≥ 75 y &lt; 95  |  Rojo &lt; 75  — Resolución N° 0056-2024-Ceplan/PCD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</row>
    <row r="25" ht="15.75" customHeight="1" s="44">
      <c r="A25" s="22" t="inlineStr">
        <is>
          <t>Meses en azul</t>
        </is>
      </c>
      <c r="B25" s="21" t="inlineStr">
        <is>
          <t>Julio y Agosto = datos de proyección tras acción de mejora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</row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>
      <c r="A43" s="33" t="inlineStr">
        <is>
          <t>CODIGO_PROCESO</t>
        </is>
      </c>
      <c r="B43" s="33" t="inlineStr">
        <is>
          <t>PROCESOS</t>
        </is>
      </c>
      <c r="C43" s="33" t="inlineStr">
        <is>
          <t>META</t>
        </is>
      </c>
      <c r="D43" s="33" t="n"/>
      <c r="E43" s="33" t="n"/>
      <c r="F43" s="33" t="inlineStr">
        <is>
          <t>MES</t>
        </is>
      </c>
      <c r="G43" s="33" t="inlineStr">
        <is>
          <t>NUMERADOR</t>
        </is>
      </c>
      <c r="H43" s="33" t="inlineStr">
        <is>
          <t>DENOMINADOR</t>
        </is>
      </c>
      <c r="I43" s="33" t="inlineStr">
        <is>
          <t>RESULTADO_ESPERADO</t>
        </is>
      </c>
      <c r="J43" s="33" t="inlineStr">
        <is>
          <t>RESULTADO_OBTENIDO</t>
        </is>
      </c>
      <c r="K43" s="33" t="inlineStr">
        <is>
          <t>DIFERENCIA</t>
        </is>
      </c>
      <c r="L43" s="33" t="inlineStr">
        <is>
          <t>CUMPLE_MES</t>
        </is>
      </c>
    </row>
    <row r="44" ht="15.75" customHeight="1" s="44">
      <c r="A44" s="33" t="inlineStr">
        <is>
          <t>M1</t>
        </is>
      </c>
      <c r="B44" s="33" t="inlineStr">
        <is>
          <t>Diseño de Servicios Públicos Interoperables</t>
        </is>
      </c>
      <c r="C44" s="33" t="inlineStr">
        <is>
          <t>≥ 90%</t>
        </is>
      </c>
      <c r="D44" s="33" t="n"/>
      <c r="E44" s="33" t="n"/>
      <c r="F44" s="33" t="inlineStr">
        <is>
          <t>Enero</t>
        </is>
      </c>
      <c r="G44" s="33" t="n">
        <v>4</v>
      </c>
      <c r="H44" s="33" t="n">
        <v>24</v>
      </c>
      <c r="I44" s="33" t="n">
        <v>15</v>
      </c>
      <c r="J44" s="33" t="n">
        <v>17</v>
      </c>
      <c r="K44" s="33" t="n">
        <v>2</v>
      </c>
      <c r="L44" s="33" t="inlineStr">
        <is>
          <t>SÍ</t>
        </is>
      </c>
    </row>
    <row r="45" ht="15.75" customHeight="1" s="44">
      <c r="A45" s="33" t="inlineStr">
        <is>
          <t>M1</t>
        </is>
      </c>
      <c r="B45" s="33" t="inlineStr">
        <is>
          <t>Diseño de Servicios Públicos Interoperables</t>
        </is>
      </c>
      <c r="C45" s="33" t="inlineStr">
        <is>
          <t>≥ 90%</t>
        </is>
      </c>
      <c r="D45" s="33" t="n"/>
      <c r="E45" s="33" t="n"/>
      <c r="F45" s="33" t="inlineStr">
        <is>
          <t>Febrero</t>
        </is>
      </c>
      <c r="G45" s="33" t="n">
        <v>6</v>
      </c>
      <c r="H45" s="33" t="n">
        <v>23</v>
      </c>
      <c r="I45" s="33" t="n">
        <v>25</v>
      </c>
      <c r="J45" s="33" t="n">
        <v>26</v>
      </c>
      <c r="K45" s="33" t="n">
        <v>1</v>
      </c>
      <c r="L45" s="33" t="inlineStr">
        <is>
          <t>SÍ</t>
        </is>
      </c>
    </row>
    <row r="46" ht="15.75" customHeight="1" s="44">
      <c r="A46" s="33" t="inlineStr">
        <is>
          <t>M1</t>
        </is>
      </c>
      <c r="B46" s="33" t="inlineStr">
        <is>
          <t>Diseño de Servicios Públicos Interoperables</t>
        </is>
      </c>
      <c r="C46" s="33" t="inlineStr">
        <is>
          <t>≥ 90%</t>
        </is>
      </c>
      <c r="D46" s="33" t="n"/>
      <c r="E46" s="33" t="n"/>
      <c r="F46" s="33" t="inlineStr">
        <is>
          <t>Marzo</t>
        </is>
      </c>
      <c r="G46" s="33" t="n">
        <v>10</v>
      </c>
      <c r="H46" s="33" t="n">
        <v>25</v>
      </c>
      <c r="I46" s="33" t="n">
        <v>45</v>
      </c>
      <c r="J46" s="33" t="n">
        <v>40</v>
      </c>
      <c r="K46" s="33" t="n">
        <v>-5</v>
      </c>
      <c r="L46" s="33" t="inlineStr">
        <is>
          <t>NO</t>
        </is>
      </c>
    </row>
    <row r="47" ht="15.75" customHeight="1" s="44">
      <c r="A47" s="33" t="inlineStr">
        <is>
          <t>M1</t>
        </is>
      </c>
      <c r="B47" s="33" t="inlineStr">
        <is>
          <t>Diseño de Servicios Públicos Interoperables</t>
        </is>
      </c>
      <c r="C47" s="33" t="inlineStr">
        <is>
          <t>≥ 90%</t>
        </is>
      </c>
      <c r="D47" s="33" t="n"/>
      <c r="E47" s="33" t="n"/>
      <c r="F47" s="33" t="inlineStr">
        <is>
          <t>Abril</t>
        </is>
      </c>
      <c r="G47" s="33" t="n">
        <v>15</v>
      </c>
      <c r="H47" s="33" t="n">
        <v>27</v>
      </c>
      <c r="I47" s="33" t="n">
        <v>60</v>
      </c>
      <c r="J47" s="33" t="n">
        <v>55</v>
      </c>
      <c r="K47" s="33" t="n">
        <v>-5</v>
      </c>
      <c r="L47" s="33" t="inlineStr">
        <is>
          <t>NO</t>
        </is>
      </c>
    </row>
    <row r="48" ht="15.75" customHeight="1" s="44">
      <c r="A48" s="33" t="inlineStr">
        <is>
          <t>M1</t>
        </is>
      </c>
      <c r="B48" s="33" t="inlineStr">
        <is>
          <t>Diseño de Servicios Públicos Interoperables</t>
        </is>
      </c>
      <c r="C48" s="33" t="inlineStr">
        <is>
          <t>≥ 90%</t>
        </is>
      </c>
      <c r="D48" s="33" t="n"/>
      <c r="E48" s="33" t="n"/>
      <c r="F48" s="33" t="inlineStr">
        <is>
          <t>Mayo</t>
        </is>
      </c>
      <c r="G48" s="33" t="n">
        <v>22</v>
      </c>
      <c r="H48" s="33" t="n">
        <v>28</v>
      </c>
      <c r="I48" s="33" t="n">
        <v>75</v>
      </c>
      <c r="J48" s="33" t="n">
        <v>78</v>
      </c>
      <c r="K48" s="33" t="n">
        <v>3</v>
      </c>
      <c r="L48" s="33" t="inlineStr">
        <is>
          <t>SÍ</t>
        </is>
      </c>
    </row>
    <row r="49" ht="15.75" customHeight="1" s="44">
      <c r="A49" s="33" t="inlineStr">
        <is>
          <t>M1.1</t>
        </is>
      </c>
      <c r="B49" s="33" t="inlineStr">
        <is>
          <t>Identificación de necesidades del servicio</t>
        </is>
      </c>
      <c r="C49" s="33" t="inlineStr">
        <is>
          <t>≥ 90%</t>
        </is>
      </c>
      <c r="D49" s="33" t="n"/>
      <c r="E49" s="33" t="n"/>
      <c r="F49" s="33" t="inlineStr">
        <is>
          <t>Enero</t>
        </is>
      </c>
      <c r="G49" s="33" t="n">
        <v>4</v>
      </c>
      <c r="H49" s="33" t="n">
        <v>25</v>
      </c>
      <c r="I49" s="33" t="n">
        <v>15</v>
      </c>
      <c r="J49" s="33" t="n">
        <v>16</v>
      </c>
      <c r="K49" s="33" t="n">
        <v>1</v>
      </c>
      <c r="L49" s="33" t="inlineStr">
        <is>
          <t>SÍ</t>
        </is>
      </c>
      <c r="P49" s="0" t="n">
        <v>1</v>
      </c>
    </row>
    <row r="50" ht="15.75" customHeight="1" s="44">
      <c r="A50" s="33" t="inlineStr">
        <is>
          <t>M1.1</t>
        </is>
      </c>
      <c r="B50" s="33" t="inlineStr">
        <is>
          <t>Identificación de necesidades del servicio</t>
        </is>
      </c>
      <c r="C50" s="33" t="inlineStr">
        <is>
          <t>≥ 90%</t>
        </is>
      </c>
      <c r="D50" s="33" t="n"/>
      <c r="E50" s="33" t="n"/>
      <c r="F50" s="33" t="inlineStr">
        <is>
          <t>Febrero</t>
        </is>
      </c>
      <c r="G50" s="33" t="n">
        <v>7</v>
      </c>
      <c r="H50" s="33" t="n">
        <v>26</v>
      </c>
      <c r="I50" s="33" t="n">
        <v>25</v>
      </c>
      <c r="J50" s="33" t="n">
        <v>27</v>
      </c>
      <c r="K50" s="33" t="n">
        <v>2</v>
      </c>
      <c r="L50" s="33" t="inlineStr">
        <is>
          <t>SÍ</t>
        </is>
      </c>
      <c r="P50" s="0" t="n">
        <v>1</v>
      </c>
    </row>
    <row r="51" ht="15.75" customHeight="1" s="44">
      <c r="A51" s="33" t="inlineStr">
        <is>
          <t>M1.1</t>
        </is>
      </c>
      <c r="B51" s="33" t="inlineStr">
        <is>
          <t>Identificación de necesidades del servicio</t>
        </is>
      </c>
      <c r="C51" s="33" t="inlineStr">
        <is>
          <t>≥ 90%</t>
        </is>
      </c>
      <c r="D51" s="33" t="n"/>
      <c r="E51" s="33" t="n"/>
      <c r="F51" s="33" t="inlineStr">
        <is>
          <t>Marzo</t>
        </is>
      </c>
      <c r="G51" s="33" t="n">
        <v>14</v>
      </c>
      <c r="H51" s="33" t="n">
        <v>30</v>
      </c>
      <c r="I51" s="33" t="n">
        <v>45</v>
      </c>
      <c r="J51" s="33" t="n">
        <v>46</v>
      </c>
      <c r="K51" s="33" t="n">
        <v>1</v>
      </c>
      <c r="L51" s="33" t="inlineStr">
        <is>
          <t>SÍ</t>
        </is>
      </c>
      <c r="P51" s="0" t="n">
        <v>1</v>
      </c>
    </row>
    <row r="52" ht="15.75" customHeight="1" s="44">
      <c r="A52" s="33" t="inlineStr">
        <is>
          <t>M1.1</t>
        </is>
      </c>
      <c r="B52" s="33" t="inlineStr">
        <is>
          <t>Identificación de necesidades del servicio</t>
        </is>
      </c>
      <c r="C52" s="33" t="inlineStr">
        <is>
          <t>≥ 90%</t>
        </is>
      </c>
      <c r="D52" s="33" t="n"/>
      <c r="E52" s="33" t="n"/>
      <c r="F52" s="33" t="inlineStr">
        <is>
          <t>Abril</t>
        </is>
      </c>
      <c r="G52" s="33" t="n">
        <v>20</v>
      </c>
      <c r="H52" s="33" t="n">
        <v>32</v>
      </c>
      <c r="I52" s="33" t="n">
        <v>60</v>
      </c>
      <c r="J52" s="33" t="n">
        <v>62</v>
      </c>
      <c r="K52" s="33" t="n">
        <v>2</v>
      </c>
      <c r="L52" s="33" t="inlineStr">
        <is>
          <t>SÍ</t>
        </is>
      </c>
      <c r="P52" s="0" t="n">
        <v>1</v>
      </c>
    </row>
    <row r="53" ht="15.75" customHeight="1" s="44">
      <c r="A53" s="33" t="inlineStr">
        <is>
          <t>M1.1</t>
        </is>
      </c>
      <c r="B53" s="33" t="inlineStr">
        <is>
          <t>Identificación de necesidades del servicio</t>
        </is>
      </c>
      <c r="C53" s="33" t="inlineStr">
        <is>
          <t>≥ 90%</t>
        </is>
      </c>
      <c r="D53" s="33" t="n"/>
      <c r="E53" s="33" t="n"/>
      <c r="F53" s="33" t="inlineStr">
        <is>
          <t>Mayo</t>
        </is>
      </c>
      <c r="G53" s="33" t="n">
        <v>25</v>
      </c>
      <c r="H53" s="33" t="n">
        <v>32</v>
      </c>
      <c r="I53" s="33" t="n">
        <v>75</v>
      </c>
      <c r="J53" s="33" t="n">
        <v>77</v>
      </c>
      <c r="K53" s="33" t="n">
        <v>2</v>
      </c>
      <c r="L53" s="33" t="inlineStr">
        <is>
          <t>SÍ</t>
        </is>
      </c>
      <c r="P53" s="0" t="n">
        <v>1</v>
      </c>
    </row>
    <row r="54" ht="15.75" customHeight="1" s="44">
      <c r="A54" s="33" t="inlineStr">
        <is>
          <t>M1.2</t>
        </is>
      </c>
      <c r="B54" s="33" t="inlineStr">
        <is>
          <t>Análisis del proceso actual</t>
        </is>
      </c>
      <c r="C54" s="33" t="inlineStr">
        <is>
          <t>≥ 95%</t>
        </is>
      </c>
      <c r="D54" s="33" t="n"/>
      <c r="E54" s="33" t="n"/>
      <c r="F54" s="33" t="inlineStr">
        <is>
          <t>Enero</t>
        </is>
      </c>
      <c r="G54" s="33" t="n">
        <v>2</v>
      </c>
      <c r="H54" s="33" t="n">
        <v>18</v>
      </c>
      <c r="I54" s="33" t="n">
        <v>10</v>
      </c>
      <c r="J54" s="33" t="n">
        <v>11</v>
      </c>
      <c r="K54" s="33" t="n">
        <v>1</v>
      </c>
      <c r="L54" s="33" t="inlineStr">
        <is>
          <t>SÍ</t>
        </is>
      </c>
      <c r="P54" s="0" t="n">
        <v>2</v>
      </c>
    </row>
    <row r="55" ht="15.75" customHeight="1" s="44">
      <c r="A55" s="33" t="inlineStr">
        <is>
          <t>M1.2</t>
        </is>
      </c>
      <c r="B55" s="33" t="inlineStr">
        <is>
          <t>Análisis del proceso actual</t>
        </is>
      </c>
      <c r="C55" s="33" t="inlineStr">
        <is>
          <t>≥ 95%</t>
        </is>
      </c>
      <c r="D55" s="33" t="n"/>
      <c r="E55" s="33" t="n"/>
      <c r="F55" s="33" t="inlineStr">
        <is>
          <t>Febrero</t>
        </is>
      </c>
      <c r="G55" s="33" t="n">
        <v>4</v>
      </c>
      <c r="H55" s="33" t="n">
        <v>18</v>
      </c>
      <c r="I55" s="33" t="n">
        <v>25</v>
      </c>
      <c r="J55" s="33" t="n">
        <v>22</v>
      </c>
      <c r="K55" s="33" t="n">
        <v>-3</v>
      </c>
      <c r="L55" s="33" t="inlineStr">
        <is>
          <t>NO</t>
        </is>
      </c>
      <c r="P55" s="0" t="n">
        <v>2</v>
      </c>
    </row>
    <row r="56" ht="15.75" customHeight="1" s="44">
      <c r="A56" s="33" t="inlineStr">
        <is>
          <t>M1.2</t>
        </is>
      </c>
      <c r="B56" s="33" t="inlineStr">
        <is>
          <t>Análisis del proceso actual</t>
        </is>
      </c>
      <c r="C56" s="33" t="inlineStr">
        <is>
          <t>≥ 95%</t>
        </is>
      </c>
      <c r="D56" s="33" t="n"/>
      <c r="E56" s="33" t="n"/>
      <c r="F56" s="33" t="inlineStr">
        <is>
          <t>Marzo</t>
        </is>
      </c>
      <c r="G56" s="33" t="n">
        <v>10</v>
      </c>
      <c r="H56" s="33" t="n">
        <v>21</v>
      </c>
      <c r="I56" s="33" t="n">
        <v>45</v>
      </c>
      <c r="J56" s="33" t="n">
        <v>47</v>
      </c>
      <c r="K56" s="33" t="n">
        <v>2</v>
      </c>
      <c r="L56" s="33" t="inlineStr">
        <is>
          <t>SÍ</t>
        </is>
      </c>
      <c r="P56" s="0" t="n">
        <v>2</v>
      </c>
    </row>
    <row r="57" ht="15.75" customHeight="1" s="44">
      <c r="A57" s="33" t="inlineStr">
        <is>
          <t>M1.2</t>
        </is>
      </c>
      <c r="B57" s="33" t="inlineStr">
        <is>
          <t>Análisis del proceso actual</t>
        </is>
      </c>
      <c r="C57" s="33" t="inlineStr">
        <is>
          <t>≥ 95%</t>
        </is>
      </c>
      <c r="D57" s="33" t="n"/>
      <c r="E57" s="33" t="n"/>
      <c r="F57" s="33" t="inlineStr">
        <is>
          <t>Abril</t>
        </is>
      </c>
      <c r="G57" s="33" t="n">
        <v>13</v>
      </c>
      <c r="H57" s="33" t="n">
        <v>23</v>
      </c>
      <c r="I57" s="33" t="n">
        <v>60</v>
      </c>
      <c r="J57" s="33" t="n">
        <v>56</v>
      </c>
      <c r="K57" s="33" t="n">
        <v>-4</v>
      </c>
      <c r="L57" s="33" t="inlineStr">
        <is>
          <t>NO</t>
        </is>
      </c>
      <c r="P57" s="0" t="n">
        <v>2</v>
      </c>
    </row>
    <row r="58" ht="15.75" customHeight="1" s="44">
      <c r="A58" s="33" t="inlineStr">
        <is>
          <t>M1.2</t>
        </is>
      </c>
      <c r="B58" s="33" t="inlineStr">
        <is>
          <t>Análisis del proceso actual</t>
        </is>
      </c>
      <c r="C58" s="33" t="inlineStr">
        <is>
          <t>≥ 95%</t>
        </is>
      </c>
      <c r="D58" s="33" t="n"/>
      <c r="E58" s="33" t="n"/>
      <c r="F58" s="33" t="inlineStr">
        <is>
          <t>Mayo</t>
        </is>
      </c>
      <c r="G58" s="33" t="n">
        <v>19</v>
      </c>
      <c r="H58" s="33" t="n">
        <v>23</v>
      </c>
      <c r="I58" s="33" t="n">
        <v>85</v>
      </c>
      <c r="J58" s="33" t="n">
        <v>81</v>
      </c>
      <c r="K58" s="33" t="n">
        <v>-4</v>
      </c>
      <c r="L58" s="33" t="inlineStr">
        <is>
          <t>NO</t>
        </is>
      </c>
      <c r="P58" s="0" t="n">
        <v>2</v>
      </c>
    </row>
    <row r="59" ht="15.75" customHeight="1" s="44">
      <c r="A59" s="33" t="inlineStr">
        <is>
          <t>M1.3</t>
        </is>
      </c>
      <c r="B59" s="33" t="inlineStr">
        <is>
          <t>Diseño del servicio interoperable</t>
        </is>
      </c>
      <c r="C59" s="33" t="inlineStr">
        <is>
          <t>≥ 90%</t>
        </is>
      </c>
      <c r="D59" s="33" t="n"/>
      <c r="E59" s="33" t="n"/>
      <c r="F59" s="33" t="inlineStr">
        <is>
          <t>Enero</t>
        </is>
      </c>
      <c r="G59" s="33" t="n">
        <v>2</v>
      </c>
      <c r="H59" s="33" t="n">
        <v>17</v>
      </c>
      <c r="I59" s="33" t="n">
        <v>10</v>
      </c>
      <c r="J59" s="33" t="n">
        <v>12</v>
      </c>
      <c r="K59" s="33" t="n">
        <v>2</v>
      </c>
      <c r="L59" s="33" t="inlineStr">
        <is>
          <t>SÍ</t>
        </is>
      </c>
      <c r="P59" t="n">
        <v>3</v>
      </c>
    </row>
    <row r="60" ht="15.75" customHeight="1" s="44">
      <c r="A60" s="33" t="inlineStr">
        <is>
          <t>M1.3</t>
        </is>
      </c>
      <c r="B60" s="33" t="inlineStr">
        <is>
          <t>Diseño del servicio interoperable</t>
        </is>
      </c>
      <c r="C60" s="33" t="inlineStr">
        <is>
          <t>≥ 90%</t>
        </is>
      </c>
      <c r="D60" s="33" t="n"/>
      <c r="E60" s="33" t="n"/>
      <c r="F60" s="33" t="inlineStr">
        <is>
          <t>Febrero</t>
        </is>
      </c>
      <c r="G60" s="33" t="n">
        <v>5</v>
      </c>
      <c r="H60" s="33" t="n">
        <v>19</v>
      </c>
      <c r="I60" s="33" t="n">
        <v>25</v>
      </c>
      <c r="J60" s="33" t="n">
        <v>26</v>
      </c>
      <c r="K60" s="33" t="n">
        <v>1</v>
      </c>
      <c r="L60" s="33" t="inlineStr">
        <is>
          <t>SÍ</t>
        </is>
      </c>
      <c r="P60" t="n">
        <v>3</v>
      </c>
    </row>
    <row r="61" ht="15.75" customHeight="1" s="44">
      <c r="A61" s="33" t="inlineStr">
        <is>
          <t>M1.3</t>
        </is>
      </c>
      <c r="B61" s="33" t="inlineStr">
        <is>
          <t>Diseño del servicio interoperable</t>
        </is>
      </c>
      <c r="C61" s="33" t="inlineStr">
        <is>
          <t>≥ 90%</t>
        </is>
      </c>
      <c r="D61" s="33" t="n"/>
      <c r="E61" s="33" t="n"/>
      <c r="F61" s="33" t="inlineStr">
        <is>
          <t>Marzo</t>
        </is>
      </c>
      <c r="G61" s="33" t="n">
        <v>10</v>
      </c>
      <c r="H61" s="33" t="n">
        <v>22</v>
      </c>
      <c r="I61" s="33" t="n">
        <v>45</v>
      </c>
      <c r="J61" s="33" t="n">
        <v>46</v>
      </c>
      <c r="K61" s="33" t="n">
        <v>1</v>
      </c>
      <c r="L61" s="33" t="inlineStr">
        <is>
          <t>SÍ</t>
        </is>
      </c>
      <c r="P61" t="n">
        <v>3</v>
      </c>
    </row>
    <row r="62" ht="15.75" customHeight="1" s="44">
      <c r="A62" s="33" t="inlineStr">
        <is>
          <t>M1.3</t>
        </is>
      </c>
      <c r="B62" s="33" t="inlineStr">
        <is>
          <t>Diseño del servicio interoperable</t>
        </is>
      </c>
      <c r="C62" s="33" t="inlineStr">
        <is>
          <t>≥ 90%</t>
        </is>
      </c>
      <c r="D62" s="33" t="n"/>
      <c r="E62" s="33" t="n"/>
      <c r="F62" s="33" t="inlineStr">
        <is>
          <t>Abril</t>
        </is>
      </c>
      <c r="G62" s="33" t="n">
        <v>14</v>
      </c>
      <c r="H62" s="33" t="n">
        <v>23</v>
      </c>
      <c r="I62" s="33" t="n">
        <v>60</v>
      </c>
      <c r="J62" s="33" t="n">
        <v>61</v>
      </c>
      <c r="K62" s="33" t="n">
        <v>1</v>
      </c>
      <c r="L62" s="33" t="inlineStr">
        <is>
          <t>SÍ</t>
        </is>
      </c>
      <c r="P62" t="n">
        <v>3</v>
      </c>
    </row>
    <row r="63" ht="15.75" customHeight="1" s="44">
      <c r="A63" s="33" t="inlineStr">
        <is>
          <t>M1.3</t>
        </is>
      </c>
      <c r="B63" s="33" t="inlineStr">
        <is>
          <t>Diseño del servicio interoperable</t>
        </is>
      </c>
      <c r="C63" s="33" t="inlineStr">
        <is>
          <t>≥ 90%</t>
        </is>
      </c>
      <c r="D63" s="33" t="n"/>
      <c r="E63" s="33" t="n"/>
      <c r="F63" s="33" t="inlineStr">
        <is>
          <t>Mayo</t>
        </is>
      </c>
      <c r="G63" s="33" t="n">
        <v>19</v>
      </c>
      <c r="H63" s="33" t="n">
        <v>25</v>
      </c>
      <c r="I63" s="33" t="n">
        <v>75</v>
      </c>
      <c r="J63" s="33" t="n">
        <v>77</v>
      </c>
      <c r="K63" s="33" t="n">
        <v>2</v>
      </c>
      <c r="L63" s="33" t="inlineStr">
        <is>
          <t>SÍ</t>
        </is>
      </c>
      <c r="P63" t="n">
        <v>3</v>
      </c>
    </row>
    <row r="64" ht="15.75" customHeight="1" s="44">
      <c r="A64" s="33" t="inlineStr">
        <is>
          <t>M1.1.1</t>
        </is>
      </c>
      <c r="B64" s="33" t="inlineStr">
        <is>
          <t>Recolección de requerimientos</t>
        </is>
      </c>
      <c r="C64" s="33" t="inlineStr">
        <is>
          <t>≥ 95%</t>
        </is>
      </c>
      <c r="D64" s="33" t="n"/>
      <c r="E64" s="33" t="n"/>
      <c r="F64" s="33" t="inlineStr">
        <is>
          <t>Enero</t>
        </is>
      </c>
      <c r="G64" s="33" t="n">
        <v>4</v>
      </c>
      <c r="H64" s="33" t="n">
        <v>25</v>
      </c>
      <c r="I64" s="33" t="n">
        <v>15</v>
      </c>
      <c r="J64" s="33" t="n">
        <v>16</v>
      </c>
      <c r="K64" s="33" t="n">
        <v>1</v>
      </c>
      <c r="L64" s="33" t="inlineStr">
        <is>
          <t>SÍ</t>
        </is>
      </c>
    </row>
    <row r="65" ht="15.75" customHeight="1" s="44">
      <c r="A65" s="33" t="inlineStr">
        <is>
          <t>M1.1.1</t>
        </is>
      </c>
      <c r="B65" s="33" t="inlineStr">
        <is>
          <t>Recolección de requerimientos</t>
        </is>
      </c>
      <c r="C65" s="33" t="inlineStr">
        <is>
          <t>≥ 95%</t>
        </is>
      </c>
      <c r="D65" s="33" t="n"/>
      <c r="E65" s="33" t="n"/>
      <c r="F65" s="33" t="inlineStr">
        <is>
          <t>Febrero</t>
        </is>
      </c>
      <c r="G65" s="33" t="n">
        <v>7</v>
      </c>
      <c r="H65" s="33" t="n">
        <v>27</v>
      </c>
      <c r="I65" s="33" t="n">
        <v>25</v>
      </c>
      <c r="J65" s="33" t="n">
        <v>26</v>
      </c>
      <c r="K65" s="33" t="n">
        <v>1</v>
      </c>
      <c r="L65" s="33" t="inlineStr">
        <is>
          <t>SÍ</t>
        </is>
      </c>
    </row>
    <row r="66" ht="15.75" customHeight="1" s="44">
      <c r="A66" s="33" t="inlineStr">
        <is>
          <t>M1.1.1</t>
        </is>
      </c>
      <c r="B66" s="33" t="inlineStr">
        <is>
          <t>Recolección de requerimientos</t>
        </is>
      </c>
      <c r="C66" s="33" t="inlineStr">
        <is>
          <t>≥ 95%</t>
        </is>
      </c>
      <c r="D66" s="33" t="n"/>
      <c r="E66" s="33" t="n"/>
      <c r="F66" s="33" t="inlineStr">
        <is>
          <t>Marzo</t>
        </is>
      </c>
      <c r="G66" s="33" t="n">
        <v>13</v>
      </c>
      <c r="H66" s="33" t="n">
        <v>26</v>
      </c>
      <c r="I66" s="33" t="n">
        <v>55</v>
      </c>
      <c r="J66" s="33" t="n">
        <v>50</v>
      </c>
      <c r="K66" s="33" t="n">
        <v>-5</v>
      </c>
      <c r="L66" s="33" t="inlineStr">
        <is>
          <t>NO</t>
        </is>
      </c>
    </row>
    <row r="67" ht="15.75" customHeight="1" s="44">
      <c r="A67" s="33" t="inlineStr">
        <is>
          <t>M1.1.1</t>
        </is>
      </c>
      <c r="B67" s="33" t="inlineStr">
        <is>
          <t>Recolección de requerimientos</t>
        </is>
      </c>
      <c r="C67" s="33" t="inlineStr">
        <is>
          <t>≥ 95%</t>
        </is>
      </c>
      <c r="D67" s="33" t="n"/>
      <c r="E67" s="33" t="n"/>
      <c r="F67" s="33" t="inlineStr">
        <is>
          <t>Abril</t>
        </is>
      </c>
      <c r="G67" s="33" t="n">
        <v>19</v>
      </c>
      <c r="H67" s="33" t="n">
        <v>27</v>
      </c>
      <c r="I67" s="33" t="n">
        <v>75</v>
      </c>
      <c r="J67" s="33" t="n">
        <v>70</v>
      </c>
      <c r="K67" s="33" t="n">
        <v>-5</v>
      </c>
      <c r="L67" s="33" t="inlineStr">
        <is>
          <t>NO</t>
        </is>
      </c>
    </row>
    <row r="68" ht="15.75" customHeight="1" s="44">
      <c r="A68" s="33" t="inlineStr">
        <is>
          <t>M1.1.1</t>
        </is>
      </c>
      <c r="B68" s="33" t="inlineStr">
        <is>
          <t>Recolección de requerimientos</t>
        </is>
      </c>
      <c r="C68" s="33" t="inlineStr">
        <is>
          <t>≥ 95%</t>
        </is>
      </c>
      <c r="D68" s="33" t="n"/>
      <c r="E68" s="33" t="n"/>
      <c r="F68" s="33" t="inlineStr">
        <is>
          <t>Mayo</t>
        </is>
      </c>
      <c r="G68" s="33" t="n">
        <v>24</v>
      </c>
      <c r="H68" s="33" t="n">
        <v>28</v>
      </c>
      <c r="I68" s="33" t="n">
        <v>90</v>
      </c>
      <c r="J68" s="33" t="n">
        <v>86</v>
      </c>
      <c r="K68" s="33" t="n">
        <v>-4</v>
      </c>
      <c r="L68" s="33" t="inlineStr">
        <is>
          <t>NO</t>
        </is>
      </c>
    </row>
    <row r="69" ht="15.75" customHeight="1" s="44">
      <c r="A69" s="33" t="inlineStr">
        <is>
          <t>M1.2.1</t>
        </is>
      </c>
      <c r="B69" s="33" t="inlineStr">
        <is>
          <t>Levantamiento del proceso actual (AS-IS)</t>
        </is>
      </c>
      <c r="C69" s="33" t="inlineStr">
        <is>
          <t>≥ 95%</t>
        </is>
      </c>
      <c r="D69" s="33" t="n"/>
      <c r="E69" s="33" t="n"/>
      <c r="F69" s="33" t="inlineStr">
        <is>
          <t>Enero</t>
        </is>
      </c>
      <c r="G69" s="33" t="n">
        <v>2</v>
      </c>
      <c r="H69" s="33" t="n">
        <v>18</v>
      </c>
      <c r="I69" s="33" t="n">
        <v>10</v>
      </c>
      <c r="J69" s="33" t="n">
        <v>11</v>
      </c>
      <c r="K69" s="33" t="n">
        <v>1</v>
      </c>
      <c r="L69" s="33" t="inlineStr">
        <is>
          <t>SÍ</t>
        </is>
      </c>
    </row>
    <row r="70" ht="15.75" customHeight="1" s="44">
      <c r="A70" s="33" t="inlineStr">
        <is>
          <t>M1.2.1</t>
        </is>
      </c>
      <c r="B70" s="33" t="inlineStr">
        <is>
          <t>Levantamiento del proceso actual (AS-IS)</t>
        </is>
      </c>
      <c r="C70" s="33" t="inlineStr">
        <is>
          <t>≥ 95%</t>
        </is>
      </c>
      <c r="D70" s="33" t="n"/>
      <c r="E70" s="33" t="n"/>
      <c r="F70" s="33" t="inlineStr">
        <is>
          <t>Febrero</t>
        </is>
      </c>
      <c r="G70" s="33" t="n">
        <v>5</v>
      </c>
      <c r="H70" s="33" t="n">
        <v>19</v>
      </c>
      <c r="I70" s="33" t="n">
        <v>25</v>
      </c>
      <c r="J70" s="33" t="n">
        <v>26</v>
      </c>
      <c r="K70" s="33" t="n">
        <v>1</v>
      </c>
      <c r="L70" s="33" t="inlineStr">
        <is>
          <t>SÍ</t>
        </is>
      </c>
    </row>
    <row r="71" ht="15.75" customHeight="1" s="44">
      <c r="A71" s="33" t="inlineStr">
        <is>
          <t>M1.2.1</t>
        </is>
      </c>
      <c r="B71" s="33" t="inlineStr">
        <is>
          <t>Levantamiento del proceso actual (AS-IS)</t>
        </is>
      </c>
      <c r="C71" s="33" t="inlineStr">
        <is>
          <t>≥ 95%</t>
        </is>
      </c>
      <c r="D71" s="33" t="n"/>
      <c r="E71" s="33" t="n"/>
      <c r="F71" s="33" t="inlineStr">
        <is>
          <t>Marzo</t>
        </is>
      </c>
      <c r="G71" s="33" t="n">
        <v>11</v>
      </c>
      <c r="H71" s="33" t="n">
        <v>21</v>
      </c>
      <c r="I71" s="33" t="n">
        <v>50</v>
      </c>
      <c r="J71" s="33" t="n">
        <v>52</v>
      </c>
      <c r="K71" s="33" t="n">
        <v>2</v>
      </c>
      <c r="L71" s="33" t="inlineStr">
        <is>
          <t>SÍ</t>
        </is>
      </c>
    </row>
    <row r="72" ht="15.75" customHeight="1" s="44">
      <c r="A72" s="33" t="inlineStr">
        <is>
          <t>M1.2.1</t>
        </is>
      </c>
      <c r="B72" s="33" t="inlineStr">
        <is>
          <t>Levantamiento del proceso actual (AS-IS)</t>
        </is>
      </c>
      <c r="C72" s="33" t="inlineStr">
        <is>
          <t>≥ 95%</t>
        </is>
      </c>
      <c r="D72" s="33" t="n"/>
      <c r="E72" s="33" t="n"/>
      <c r="F72" s="33" t="inlineStr">
        <is>
          <t>Abril</t>
        </is>
      </c>
      <c r="G72" s="33" t="n">
        <v>16</v>
      </c>
      <c r="H72" s="33" t="n">
        <v>22</v>
      </c>
      <c r="I72" s="33" t="n">
        <v>70</v>
      </c>
      <c r="J72" s="33" t="n">
        <v>72</v>
      </c>
      <c r="K72" s="33" t="n">
        <v>2</v>
      </c>
      <c r="L72" s="33" t="inlineStr">
        <is>
          <t>SÍ</t>
        </is>
      </c>
    </row>
    <row r="73" ht="15.75" customHeight="1" s="44">
      <c r="A73" s="33" t="inlineStr">
        <is>
          <t>M1.2.1</t>
        </is>
      </c>
      <c r="B73" s="33" t="inlineStr">
        <is>
          <t>Levantamiento del proceso actual (AS-IS)</t>
        </is>
      </c>
      <c r="C73" s="33" t="inlineStr">
        <is>
          <t>≥ 95%</t>
        </is>
      </c>
      <c r="D73" s="33" t="n"/>
      <c r="E73" s="33" t="n"/>
      <c r="F73" s="33" t="inlineStr">
        <is>
          <t>Mayo</t>
        </is>
      </c>
      <c r="G73" s="33" t="n">
        <v>22</v>
      </c>
      <c r="H73" s="33" t="n">
        <v>25</v>
      </c>
      <c r="I73" s="33" t="n">
        <v>85</v>
      </c>
      <c r="J73" s="33" t="n">
        <v>87</v>
      </c>
      <c r="K73" s="33" t="n">
        <v>2</v>
      </c>
      <c r="L73" s="33" t="inlineStr">
        <is>
          <t>SÍ</t>
        </is>
      </c>
    </row>
    <row r="74" ht="15.75" customHeight="1" s="44">
      <c r="A74" s="33" t="inlineStr">
        <is>
          <t>M1.3.2</t>
        </is>
      </c>
      <c r="B74" s="33" t="inlineStr">
        <is>
          <t>Diseño del flujo del proceso (TO-BE)</t>
        </is>
      </c>
      <c r="C74" s="33" t="inlineStr">
        <is>
          <t>≥ 95%</t>
        </is>
      </c>
      <c r="D74" s="33" t="n"/>
      <c r="E74" s="33" t="n"/>
      <c r="F74" s="33" t="inlineStr">
        <is>
          <t>Enero</t>
        </is>
      </c>
      <c r="G74" s="33" t="n">
        <v>2</v>
      </c>
      <c r="H74" s="33" t="n">
        <v>20</v>
      </c>
      <c r="I74" s="33" t="n">
        <v>10</v>
      </c>
      <c r="J74" s="33" t="n">
        <v>10</v>
      </c>
      <c r="K74" s="33" t="n">
        <v>0</v>
      </c>
      <c r="L74" s="33" t="inlineStr">
        <is>
          <t>SÍ</t>
        </is>
      </c>
    </row>
    <row r="75" ht="15.75" customHeight="1" s="44">
      <c r="A75" s="33" t="inlineStr">
        <is>
          <t>M1.3.2</t>
        </is>
      </c>
      <c r="B75" s="33" t="inlineStr">
        <is>
          <t>Diseño del flujo del proceso (TO-BE)</t>
        </is>
      </c>
      <c r="C75" s="33" t="inlineStr">
        <is>
          <t>≥ 95%</t>
        </is>
      </c>
      <c r="D75" s="33" t="n"/>
      <c r="E75" s="33" t="n"/>
      <c r="F75" s="33" t="inlineStr">
        <is>
          <t>Febrero</t>
        </is>
      </c>
      <c r="G75" s="33" t="n">
        <v>5</v>
      </c>
      <c r="H75" s="33" t="n">
        <v>19</v>
      </c>
      <c r="I75" s="33" t="n">
        <v>25</v>
      </c>
      <c r="J75" s="33" t="n">
        <v>26</v>
      </c>
      <c r="K75" s="33" t="n">
        <v>1</v>
      </c>
      <c r="L75" s="33" t="inlineStr">
        <is>
          <t>SÍ</t>
        </is>
      </c>
    </row>
    <row r="76" ht="15.75" customHeight="1" s="44">
      <c r="A76" s="33" t="inlineStr">
        <is>
          <t>M1.3.2</t>
        </is>
      </c>
      <c r="B76" s="33" t="inlineStr">
        <is>
          <t>Diseño del flujo del proceso (TO-BE)</t>
        </is>
      </c>
      <c r="C76" s="33" t="inlineStr">
        <is>
          <t>≥ 95%</t>
        </is>
      </c>
      <c r="D76" s="33" t="n"/>
      <c r="E76" s="33" t="n"/>
      <c r="F76" s="33" t="inlineStr">
        <is>
          <t>Marzo</t>
        </is>
      </c>
      <c r="G76" s="33" t="n">
        <v>12</v>
      </c>
      <c r="H76" s="33" t="n">
        <v>24</v>
      </c>
      <c r="I76" s="33" t="n">
        <v>50</v>
      </c>
      <c r="J76" s="33" t="n">
        <v>51</v>
      </c>
      <c r="K76" s="33" t="n">
        <v>1</v>
      </c>
      <c r="L76" s="33" t="inlineStr">
        <is>
          <t>SÍ</t>
        </is>
      </c>
    </row>
    <row r="77" ht="15.75" customHeight="1" s="44">
      <c r="A77" s="33" t="inlineStr">
        <is>
          <t>M1.3.2</t>
        </is>
      </c>
      <c r="B77" s="33" t="inlineStr">
        <is>
          <t>Diseño del flujo del proceso (TO-BE)</t>
        </is>
      </c>
      <c r="C77" s="33" t="inlineStr">
        <is>
          <t>≥ 95%</t>
        </is>
      </c>
      <c r="D77" s="33" t="n"/>
      <c r="E77" s="33" t="n"/>
      <c r="F77" s="33" t="inlineStr">
        <is>
          <t>Abril</t>
        </is>
      </c>
      <c r="G77" s="33" t="n">
        <v>12</v>
      </c>
      <c r="H77" s="33" t="n">
        <v>22</v>
      </c>
      <c r="I77" s="33" t="n">
        <v>60</v>
      </c>
      <c r="J77" s="33" t="n">
        <v>55</v>
      </c>
      <c r="K77" s="33" t="n">
        <v>-5</v>
      </c>
      <c r="L77" s="33" t="inlineStr">
        <is>
          <t>NO</t>
        </is>
      </c>
    </row>
    <row r="78" ht="15.75" customHeight="1" s="44">
      <c r="A78" s="33" t="inlineStr">
        <is>
          <t>M1.3.2</t>
        </is>
      </c>
      <c r="B78" s="33" t="inlineStr">
        <is>
          <t>Diseño del flujo del proceso (TO-BE)</t>
        </is>
      </c>
      <c r="C78" s="33" t="inlineStr">
        <is>
          <t>≥ 95%</t>
        </is>
      </c>
      <c r="D78" s="33" t="n"/>
      <c r="E78" s="33" t="n"/>
      <c r="F78" s="33" t="inlineStr">
        <is>
          <t>Mayo</t>
        </is>
      </c>
      <c r="G78" s="33" t="n">
        <v>18</v>
      </c>
      <c r="H78" s="33" t="n">
        <v>24</v>
      </c>
      <c r="I78" s="33" t="n">
        <v>80</v>
      </c>
      <c r="J78" s="33" t="n">
        <v>74</v>
      </c>
      <c r="K78" s="33" t="n">
        <v>-6</v>
      </c>
      <c r="L78" s="33" t="inlineStr">
        <is>
          <t>NO</t>
        </is>
      </c>
    </row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7">
    <mergeCell ref="A2:O2"/>
    <mergeCell ref="B24:O24"/>
    <mergeCell ref="A1:O1"/>
    <mergeCell ref="B25:O25"/>
    <mergeCell ref="B23:O23"/>
    <mergeCell ref="B22:O22"/>
    <mergeCell ref="A21:O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P79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4" min="1" max="1"/>
    <col width="34.63" customWidth="1" style="44" min="2" max="2"/>
    <col width="36" customWidth="1" style="44" min="3" max="3"/>
    <col width="12.63" customWidth="1" style="44" min="4" max="7"/>
  </cols>
  <sheetData>
    <row r="1" ht="15.75" customHeight="1" s="44">
      <c r="A1" s="45" t="inlineStr">
        <is>
          <t>DATOS ESTANDARIZADOS – M2 | Provisión e Intercambio de Servicios de Información | Daza Lorenzo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</row>
    <row r="2" ht="15.75" customHeight="1" s="44">
      <c r="A2" s="47" t="inlineStr">
        <is>
          <t>Semaforización CEPLAN (Resolución N° 0056-2024-Ceplan/PCD):   🟢 Verde [95–100]   |   🟡 Amarillo [75–95&gt;   |   🔴 Rojo [0–75&gt;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</row>
    <row r="3" ht="15.75" customHeight="1" s="44">
      <c r="A3" s="6" t="inlineStr">
        <is>
          <t>CÓDIGO DE
PROCESO</t>
        </is>
      </c>
      <c r="B3" s="6" t="inlineStr">
        <is>
          <t>PROCESO</t>
        </is>
      </c>
      <c r="C3" s="6" t="inlineStr">
        <is>
          <t>INDICADOR</t>
        </is>
      </c>
      <c r="D3" s="6" t="inlineStr">
        <is>
          <t>Sentido Indicador</t>
        </is>
      </c>
      <c r="E3" s="6" t="inlineStr">
        <is>
          <t>Unidad</t>
        </is>
      </c>
      <c r="F3" s="6" t="inlineStr">
        <is>
          <t>META
FINAL</t>
        </is>
      </c>
      <c r="G3" s="6" t="inlineStr">
        <is>
          <t>AÑO</t>
        </is>
      </c>
      <c r="H3" s="6" t="inlineStr">
        <is>
          <t>MES</t>
        </is>
      </c>
      <c r="I3" s="6" t="inlineStr">
        <is>
          <t>NUMERADOR
(cantidad)</t>
        </is>
      </c>
      <c r="J3" s="6" t="inlineStr">
        <is>
          <t>DENOMINADOR
(cantidad)</t>
        </is>
      </c>
      <c r="K3" s="6" t="inlineStr">
        <is>
          <t>RESULTADO
ESPERADO (%)</t>
        </is>
      </c>
      <c r="L3" s="6" t="inlineStr">
        <is>
          <t>RESULTADO
OBTENIDO (%)</t>
        </is>
      </c>
      <c r="M3" s="6" t="inlineStr">
        <is>
          <t>DIFERENCIA
(pp)</t>
        </is>
      </c>
      <c r="N3" s="6" t="inlineStr">
        <is>
          <t>AVANCE T1
(%)</t>
        </is>
      </c>
      <c r="O3" s="6" t="inlineStr">
        <is>
          <t>SEMÁFORO
CEPLAN</t>
        </is>
      </c>
      <c r="P3" s="0" t="inlineStr">
        <is>
          <t>Relevancia</t>
        </is>
      </c>
    </row>
    <row r="4" ht="15.75" customHeight="1" s="44">
      <c r="A4" s="25" t="inlineStr">
        <is>
          <t>M2.1</t>
        </is>
      </c>
      <c r="B4" s="18" t="inlineStr">
        <is>
          <t>Gestión de solicitudes de interoperabilidad</t>
        </is>
      </c>
      <c r="C4" s="24" t="inlineStr">
        <is>
          <t>% solicitudes correctamente analizadas</t>
        </is>
      </c>
      <c r="D4" s="24" t="inlineStr">
        <is>
          <t>Ascendente</t>
        </is>
      </c>
      <c r="E4" s="24" t="inlineStr">
        <is>
          <t>%</t>
        </is>
      </c>
      <c r="F4" s="25" t="n">
        <v>95</v>
      </c>
      <c r="G4" s="25" t="n">
        <v>2026</v>
      </c>
      <c r="H4" s="25" t="inlineStr">
        <is>
          <t>Enero</t>
        </is>
      </c>
      <c r="I4" s="25" t="n">
        <v>78</v>
      </c>
      <c r="J4" s="25" t="n">
        <v>92</v>
      </c>
      <c r="K4" s="25" t="n">
        <v>80</v>
      </c>
      <c r="L4" s="41" t="n">
        <v>84.8</v>
      </c>
      <c r="M4" s="41" t="n">
        <v>4.799999999999997</v>
      </c>
      <c r="N4" s="27">
        <f>(L4/K4)*100</f>
        <v/>
      </c>
      <c r="O4" s="12" t="inlineStr">
        <is>
          <t>Verde</t>
        </is>
      </c>
      <c r="P4" s="0" t="n">
        <v>1</v>
      </c>
    </row>
    <row r="5" ht="15.75" customHeight="1" s="44">
      <c r="A5" s="26" t="inlineStr">
        <is>
          <t>M2.1</t>
        </is>
      </c>
      <c r="B5" s="14" t="inlineStr">
        <is>
          <t>Gestión de solicitudes de interoperabilidad</t>
        </is>
      </c>
      <c r="C5" s="24" t="inlineStr">
        <is>
          <t>% solicitudes correctamente analizadas</t>
        </is>
      </c>
      <c r="D5" s="24" t="inlineStr">
        <is>
          <t>Ascendente</t>
        </is>
      </c>
      <c r="E5" s="24" t="inlineStr">
        <is>
          <t>%</t>
        </is>
      </c>
      <c r="F5" s="26" t="n">
        <v>95</v>
      </c>
      <c r="G5" s="26" t="n">
        <v>2026</v>
      </c>
      <c r="H5" s="26" t="inlineStr">
        <is>
          <t>Febrero</t>
        </is>
      </c>
      <c r="I5" s="26" t="n">
        <v>85</v>
      </c>
      <c r="J5" s="26" t="n">
        <v>92</v>
      </c>
      <c r="K5" s="26" t="n">
        <v>85</v>
      </c>
      <c r="L5" s="27" t="n">
        <v>92.40000000000001</v>
      </c>
      <c r="M5" s="27" t="n">
        <v>7.400000000000006</v>
      </c>
      <c r="N5" s="27">
        <f>(L5/K5)*100</f>
        <v/>
      </c>
      <c r="O5" s="12" t="inlineStr">
        <is>
          <t>Verde</t>
        </is>
      </c>
      <c r="P5" s="0" t="n">
        <v>1</v>
      </c>
    </row>
    <row r="6" ht="15.75" customHeight="1" s="44">
      <c r="A6" s="25" t="inlineStr">
        <is>
          <t>M2.1</t>
        </is>
      </c>
      <c r="B6" s="18" t="inlineStr">
        <is>
          <t>Gestión de solicitudes de interoperabilidad</t>
        </is>
      </c>
      <c r="C6" s="24" t="inlineStr">
        <is>
          <t>% solicitudes correctamente analizadas</t>
        </is>
      </c>
      <c r="D6" s="24" t="inlineStr">
        <is>
          <t>Ascendente</t>
        </is>
      </c>
      <c r="E6" s="24" t="inlineStr">
        <is>
          <t>%</t>
        </is>
      </c>
      <c r="F6" s="25" t="n">
        <v>95</v>
      </c>
      <c r="G6" s="25" t="n">
        <v>2026</v>
      </c>
      <c r="H6" s="25" t="inlineStr">
        <is>
          <t>Marzo</t>
        </is>
      </c>
      <c r="I6" s="25" t="n">
        <v>94</v>
      </c>
      <c r="J6" s="25" t="n">
        <v>98</v>
      </c>
      <c r="K6" s="25" t="n">
        <v>90</v>
      </c>
      <c r="L6" s="41" t="n">
        <v>95.90000000000001</v>
      </c>
      <c r="M6" s="41" t="n">
        <v>5.900000000000006</v>
      </c>
      <c r="N6" s="27">
        <f>(L6/K6)*100</f>
        <v/>
      </c>
      <c r="O6" s="12" t="inlineStr">
        <is>
          <t>Verde</t>
        </is>
      </c>
      <c r="P6" s="0" t="n">
        <v>1</v>
      </c>
    </row>
    <row r="7" ht="15.75" customHeight="1" s="44">
      <c r="A7" s="26" t="inlineStr">
        <is>
          <t>M2.1</t>
        </is>
      </c>
      <c r="B7" s="14" t="inlineStr">
        <is>
          <t>Gestión de solicitudes de interoperabilidad</t>
        </is>
      </c>
      <c r="C7" s="24" t="inlineStr">
        <is>
          <t>% solicitudes correctamente analizadas</t>
        </is>
      </c>
      <c r="D7" s="24" t="inlineStr">
        <is>
          <t>Ascendente</t>
        </is>
      </c>
      <c r="E7" s="24" t="inlineStr">
        <is>
          <t>%</t>
        </is>
      </c>
      <c r="F7" s="26" t="n">
        <v>95</v>
      </c>
      <c r="G7" s="26" t="n">
        <v>2026</v>
      </c>
      <c r="H7" s="26" t="inlineStr">
        <is>
          <t>Abril</t>
        </is>
      </c>
      <c r="I7" s="26" t="n">
        <v>79</v>
      </c>
      <c r="J7" s="26" t="n">
        <v>87</v>
      </c>
      <c r="K7" s="26" t="n">
        <v>95</v>
      </c>
      <c r="L7" s="27" t="n">
        <v>89</v>
      </c>
      <c r="M7" s="27" t="n">
        <v>-4.200000000000003</v>
      </c>
      <c r="N7" s="27">
        <f>(L7/K7)*100</f>
        <v/>
      </c>
      <c r="O7" s="28" t="inlineStr">
        <is>
          <t>Amarillo</t>
        </is>
      </c>
      <c r="P7" s="0" t="n">
        <v>1</v>
      </c>
    </row>
    <row r="8" ht="15.75" customHeight="1" s="44">
      <c r="A8" s="25" t="inlineStr">
        <is>
          <t>M2.1</t>
        </is>
      </c>
      <c r="B8" s="18" t="inlineStr">
        <is>
          <t>Gestión de solicitudes de interoperabilidad</t>
        </is>
      </c>
      <c r="C8" s="24" t="inlineStr">
        <is>
          <t>% solicitudes correctamente analizadas</t>
        </is>
      </c>
      <c r="D8" s="24" t="inlineStr">
        <is>
          <t>Ascendente</t>
        </is>
      </c>
      <c r="E8" s="24" t="inlineStr">
        <is>
          <t>%</t>
        </is>
      </c>
      <c r="F8" s="25" t="n">
        <v>95</v>
      </c>
      <c r="G8" s="25" t="n">
        <v>2026</v>
      </c>
      <c r="H8" s="25" t="inlineStr">
        <is>
          <t>Mayo</t>
        </is>
      </c>
      <c r="I8" s="25" t="n">
        <v>96</v>
      </c>
      <c r="J8" s="25" t="n">
        <v>100</v>
      </c>
      <c r="K8" s="25" t="n">
        <v>98</v>
      </c>
      <c r="L8" s="41" t="n">
        <v>96</v>
      </c>
      <c r="M8" s="41" t="n">
        <v>-2</v>
      </c>
      <c r="N8" s="27">
        <f>(L8/K8)*100</f>
        <v/>
      </c>
      <c r="O8" s="12" t="inlineStr">
        <is>
          <t>Verde</t>
        </is>
      </c>
      <c r="P8" s="0" t="n">
        <v>1</v>
      </c>
    </row>
    <row r="9" ht="15.75" customHeight="1" s="44">
      <c r="A9" s="26" t="inlineStr">
        <is>
          <t>M2.2</t>
        </is>
      </c>
      <c r="B9" s="14" t="inlineStr">
        <is>
          <t>Diseño y configuración de integración</t>
        </is>
      </c>
      <c r="C9" s="24" t="inlineStr">
        <is>
          <t>Tiempo promedio implementación servicios</t>
        </is>
      </c>
      <c r="D9" s="29" t="inlineStr">
        <is>
          <t>Descendente</t>
        </is>
      </c>
      <c r="E9" s="29" t="inlineStr">
        <is>
          <t>días</t>
        </is>
      </c>
      <c r="F9" s="26" t="n">
        <v>20</v>
      </c>
      <c r="G9" s="26" t="n">
        <v>2026</v>
      </c>
      <c r="H9" s="26" t="inlineStr">
        <is>
          <t>Enero</t>
        </is>
      </c>
      <c r="I9" s="26" t="n">
        <v>555</v>
      </c>
      <c r="J9" s="26" t="n">
        <v>30</v>
      </c>
      <c r="K9" s="26" t="n">
        <v>22</v>
      </c>
      <c r="L9" s="27" t="n">
        <v>18.5</v>
      </c>
      <c r="M9" s="27" t="n">
        <v>-3.5</v>
      </c>
      <c r="N9" s="27">
        <f>(K9/L9)*100</f>
        <v/>
      </c>
      <c r="O9" s="12" t="inlineStr">
        <is>
          <t>Verde</t>
        </is>
      </c>
      <c r="P9" s="0" t="n">
        <v>2</v>
      </c>
    </row>
    <row r="10" ht="15.75" customHeight="1" s="44">
      <c r="A10" s="25" t="inlineStr">
        <is>
          <t>M2.2</t>
        </is>
      </c>
      <c r="B10" s="18" t="inlineStr">
        <is>
          <t>Diseño y configuración de integración</t>
        </is>
      </c>
      <c r="C10" s="24" t="inlineStr">
        <is>
          <t>Tiempo promedio implementación servicios</t>
        </is>
      </c>
      <c r="D10" s="29" t="inlineStr">
        <is>
          <t>Descendente</t>
        </is>
      </c>
      <c r="E10" s="29" t="inlineStr">
        <is>
          <t>días</t>
        </is>
      </c>
      <c r="F10" s="25" t="n">
        <v>20</v>
      </c>
      <c r="G10" s="25" t="n">
        <v>2026</v>
      </c>
      <c r="H10" s="25" t="inlineStr">
        <is>
          <t>Febrero</t>
        </is>
      </c>
      <c r="I10" s="25" t="n">
        <v>462</v>
      </c>
      <c r="J10" s="25" t="n">
        <v>22</v>
      </c>
      <c r="K10" s="25" t="n">
        <v>20</v>
      </c>
      <c r="L10" s="41" t="n">
        <v>21</v>
      </c>
      <c r="M10" s="41" t="n">
        <v>1</v>
      </c>
      <c r="N10" s="27">
        <f>(K10/L10)*100</f>
        <v/>
      </c>
      <c r="O10" s="12" t="inlineStr">
        <is>
          <t>Verde</t>
        </is>
      </c>
      <c r="P10" s="0" t="n">
        <v>2</v>
      </c>
    </row>
    <row r="11" ht="15.75" customHeight="1" s="44">
      <c r="A11" s="26" t="inlineStr">
        <is>
          <t>M2.2</t>
        </is>
      </c>
      <c r="B11" s="14" t="inlineStr">
        <is>
          <t>Diseño y configuración de integración</t>
        </is>
      </c>
      <c r="C11" s="24" t="inlineStr">
        <is>
          <t>Tiempo promedio implementación servicios</t>
        </is>
      </c>
      <c r="D11" s="29" t="inlineStr">
        <is>
          <t>Descendente</t>
        </is>
      </c>
      <c r="E11" s="29" t="inlineStr">
        <is>
          <t>días</t>
        </is>
      </c>
      <c r="F11" s="26" t="n">
        <v>20</v>
      </c>
      <c r="G11" s="26" t="n">
        <v>2026</v>
      </c>
      <c r="H11" s="26" t="inlineStr">
        <is>
          <t>Marzo</t>
        </is>
      </c>
      <c r="I11" s="26" t="n">
        <v>380</v>
      </c>
      <c r="J11" s="26" t="n">
        <v>19</v>
      </c>
      <c r="K11" s="26" t="n">
        <v>18</v>
      </c>
      <c r="L11" s="27" t="n">
        <v>20</v>
      </c>
      <c r="M11" s="27" t="n">
        <v>2</v>
      </c>
      <c r="N11" s="27">
        <f>(K11/L11)*100</f>
        <v/>
      </c>
      <c r="O11" s="28" t="inlineStr">
        <is>
          <t>Amarillo</t>
        </is>
      </c>
      <c r="P11" s="0" t="n">
        <v>2</v>
      </c>
    </row>
    <row r="12" ht="15.75" customHeight="1" s="44">
      <c r="A12" s="25" t="inlineStr">
        <is>
          <t>M2.2</t>
        </is>
      </c>
      <c r="B12" s="18" t="inlineStr">
        <is>
          <t>Diseño y configuración de integración</t>
        </is>
      </c>
      <c r="C12" s="24" t="inlineStr">
        <is>
          <t>Tiempo promedio implementación servicios</t>
        </is>
      </c>
      <c r="D12" s="29" t="inlineStr">
        <is>
          <t>Descendente</t>
        </is>
      </c>
      <c r="E12" s="29" t="inlineStr">
        <is>
          <t>días</t>
        </is>
      </c>
      <c r="F12" s="25" t="n">
        <v>20</v>
      </c>
      <c r="G12" s="25" t="n">
        <v>2026</v>
      </c>
      <c r="H12" s="25" t="inlineStr">
        <is>
          <t>Abril</t>
        </is>
      </c>
      <c r="I12" s="25" t="n">
        <v>400</v>
      </c>
      <c r="J12" s="25" t="n">
        <v>23</v>
      </c>
      <c r="K12" s="25" t="n">
        <v>16</v>
      </c>
      <c r="L12" s="41" t="n">
        <v>17.4</v>
      </c>
      <c r="M12" s="41" t="n">
        <v>1.399999999999999</v>
      </c>
      <c r="N12" s="27">
        <f>(K12/L12)*100</f>
        <v/>
      </c>
      <c r="O12" s="28" t="inlineStr">
        <is>
          <t>Amarillo</t>
        </is>
      </c>
      <c r="P12" s="0" t="n">
        <v>2</v>
      </c>
    </row>
    <row r="13" ht="15.75" customHeight="1" s="44">
      <c r="A13" s="26" t="inlineStr">
        <is>
          <t>M2.2</t>
        </is>
      </c>
      <c r="B13" s="14" t="inlineStr">
        <is>
          <t>Diseño y configuración de integración</t>
        </is>
      </c>
      <c r="C13" s="24" t="inlineStr">
        <is>
          <t>Tiempo promedio implementación servicios</t>
        </is>
      </c>
      <c r="D13" s="29" t="inlineStr">
        <is>
          <t>Descendente</t>
        </is>
      </c>
      <c r="E13" s="29" t="inlineStr">
        <is>
          <t>días</t>
        </is>
      </c>
      <c r="F13" s="26" t="n">
        <v>20</v>
      </c>
      <c r="G13" s="26" t="n">
        <v>2026</v>
      </c>
      <c r="H13" s="26" t="inlineStr">
        <is>
          <t>Mayo</t>
        </is>
      </c>
      <c r="I13" s="26" t="n">
        <v>350</v>
      </c>
      <c r="J13" s="26" t="n">
        <v>20</v>
      </c>
      <c r="K13" s="26" t="n">
        <v>15</v>
      </c>
      <c r="L13" s="27" t="n">
        <v>17.5</v>
      </c>
      <c r="M13" s="27" t="n">
        <v>2.5</v>
      </c>
      <c r="N13" s="27">
        <f>(K13/L13)*100</f>
        <v/>
      </c>
      <c r="O13" s="28" t="inlineStr">
        <is>
          <t>Amarillo</t>
        </is>
      </c>
      <c r="P13" s="0" t="n">
        <v>2</v>
      </c>
    </row>
    <row r="14" ht="15.75" customHeight="1" s="44">
      <c r="A14" s="25" t="inlineStr">
        <is>
          <t>M2.3</t>
        </is>
      </c>
      <c r="B14" s="18" t="inlineStr">
        <is>
          <t>Ejecución de pruebas de interoperabilidad</t>
        </is>
      </c>
      <c r="C14" s="24" t="inlineStr">
        <is>
          <t>% pruebas aprobadas en el primer intento</t>
        </is>
      </c>
      <c r="D14" s="24" t="inlineStr">
        <is>
          <t>Ascendente</t>
        </is>
      </c>
      <c r="E14" s="24" t="inlineStr">
        <is>
          <t>%</t>
        </is>
      </c>
      <c r="F14" s="25" t="n">
        <v>95</v>
      </c>
      <c r="G14" s="25" t="n">
        <v>2026</v>
      </c>
      <c r="H14" s="25" t="inlineStr">
        <is>
          <t>Enero</t>
        </is>
      </c>
      <c r="I14" s="25" t="n">
        <v>30</v>
      </c>
      <c r="J14" s="25" t="n">
        <v>40</v>
      </c>
      <c r="K14" s="25" t="n">
        <v>80</v>
      </c>
      <c r="L14" s="41" t="n">
        <v>75</v>
      </c>
      <c r="M14" s="41" t="n">
        <v>-5</v>
      </c>
      <c r="N14" s="27">
        <f>(L14/K14)*100</f>
        <v/>
      </c>
      <c r="O14" s="28" t="inlineStr">
        <is>
          <t>Amarillo</t>
        </is>
      </c>
      <c r="P14" t="n">
        <v>3</v>
      </c>
    </row>
    <row r="15" ht="15.75" customHeight="1" s="44">
      <c r="A15" s="26" t="inlineStr">
        <is>
          <t>M2.3</t>
        </is>
      </c>
      <c r="B15" s="14" t="inlineStr">
        <is>
          <t>Ejecución de pruebas de interoperabilidad</t>
        </is>
      </c>
      <c r="C15" s="24" t="inlineStr">
        <is>
          <t>% pruebas aprobadas en el primer intento</t>
        </is>
      </c>
      <c r="D15" s="24" t="inlineStr">
        <is>
          <t>Ascendente</t>
        </is>
      </c>
      <c r="E15" s="24" t="inlineStr">
        <is>
          <t>%</t>
        </is>
      </c>
      <c r="F15" s="26" t="n">
        <v>95</v>
      </c>
      <c r="G15" s="26" t="n">
        <v>2026</v>
      </c>
      <c r="H15" s="26" t="inlineStr">
        <is>
          <t>Febrero</t>
        </is>
      </c>
      <c r="I15" s="26" t="n">
        <v>41</v>
      </c>
      <c r="J15" s="26" t="n">
        <v>45</v>
      </c>
      <c r="K15" s="26" t="n">
        <v>85</v>
      </c>
      <c r="L15" s="27" t="n">
        <v>91.09999999999999</v>
      </c>
      <c r="M15" s="27" t="n">
        <v>6.099999999999994</v>
      </c>
      <c r="N15" s="27">
        <f>(L15/K15)*100</f>
        <v/>
      </c>
      <c r="O15" s="12" t="inlineStr">
        <is>
          <t>Verde</t>
        </is>
      </c>
      <c r="P15" t="n">
        <v>3</v>
      </c>
    </row>
    <row r="16" ht="15.75" customHeight="1" s="44">
      <c r="A16" s="25" t="inlineStr">
        <is>
          <t>M2.3</t>
        </is>
      </c>
      <c r="B16" s="18" t="inlineStr">
        <is>
          <t>Ejecución de pruebas de interoperabilidad</t>
        </is>
      </c>
      <c r="C16" s="24" t="inlineStr">
        <is>
          <t>% pruebas aprobadas en el primer intento</t>
        </is>
      </c>
      <c r="D16" s="24" t="inlineStr">
        <is>
          <t>Ascendente</t>
        </is>
      </c>
      <c r="E16" s="24" t="inlineStr">
        <is>
          <t>%</t>
        </is>
      </c>
      <c r="F16" s="25" t="n">
        <v>95</v>
      </c>
      <c r="G16" s="25" t="n">
        <v>2026</v>
      </c>
      <c r="H16" s="25" t="inlineStr">
        <is>
          <t>Marzo</t>
        </is>
      </c>
      <c r="I16" s="25" t="n">
        <v>44</v>
      </c>
      <c r="J16" s="25" t="n">
        <v>46</v>
      </c>
      <c r="K16" s="25" t="n">
        <v>90</v>
      </c>
      <c r="L16" s="41" t="n">
        <v>95.7</v>
      </c>
      <c r="M16" s="41" t="n">
        <v>5.700000000000003</v>
      </c>
      <c r="N16" s="27">
        <f>(L16/K16)*100</f>
        <v/>
      </c>
      <c r="O16" s="12" t="inlineStr">
        <is>
          <t>Verde</t>
        </is>
      </c>
      <c r="P16" t="n">
        <v>3</v>
      </c>
    </row>
    <row r="17" ht="15.75" customHeight="1" s="44">
      <c r="A17" s="26" t="inlineStr">
        <is>
          <t>M2.3</t>
        </is>
      </c>
      <c r="B17" s="14" t="inlineStr">
        <is>
          <t>Ejecución de pruebas de interoperabilidad</t>
        </is>
      </c>
      <c r="C17" s="24" t="inlineStr">
        <is>
          <t>% pruebas aprobadas en el primer intento</t>
        </is>
      </c>
      <c r="D17" s="24" t="inlineStr">
        <is>
          <t>Ascendente</t>
        </is>
      </c>
      <c r="E17" s="24" t="inlineStr">
        <is>
          <t>%</t>
        </is>
      </c>
      <c r="F17" s="26" t="n">
        <v>95</v>
      </c>
      <c r="G17" s="26" t="n">
        <v>2026</v>
      </c>
      <c r="H17" s="26" t="inlineStr">
        <is>
          <t>Abril</t>
        </is>
      </c>
      <c r="I17" s="26" t="n">
        <v>35</v>
      </c>
      <c r="J17" s="26" t="n">
        <v>38</v>
      </c>
      <c r="K17" s="26" t="n">
        <v>95</v>
      </c>
      <c r="L17" s="27" t="n">
        <v>92.09999999999999</v>
      </c>
      <c r="M17" s="27" t="n">
        <v>-2.900000000000006</v>
      </c>
      <c r="N17" s="27">
        <f>(L17/K17)*100</f>
        <v/>
      </c>
      <c r="O17" s="12" t="inlineStr">
        <is>
          <t>Verde</t>
        </is>
      </c>
      <c r="P17" t="n">
        <v>3</v>
      </c>
    </row>
    <row r="18" ht="15.75" customHeight="1" s="44">
      <c r="A18" s="25" t="inlineStr">
        <is>
          <t>M2.3</t>
        </is>
      </c>
      <c r="B18" s="18" t="inlineStr">
        <is>
          <t>Ejecución de pruebas de interoperabilidad</t>
        </is>
      </c>
      <c r="C18" s="24" t="inlineStr">
        <is>
          <t>% pruebas aprobadas en el primer intento</t>
        </is>
      </c>
      <c r="D18" s="24" t="inlineStr">
        <is>
          <t>Ascendente</t>
        </is>
      </c>
      <c r="E18" s="24" t="inlineStr">
        <is>
          <t>%</t>
        </is>
      </c>
      <c r="F18" s="25" t="n">
        <v>95</v>
      </c>
      <c r="G18" s="25" t="n">
        <v>2026</v>
      </c>
      <c r="H18" s="25" t="inlineStr">
        <is>
          <t>Mayo</t>
        </is>
      </c>
      <c r="I18" s="25" t="n">
        <v>48</v>
      </c>
      <c r="J18" s="25" t="n">
        <v>50</v>
      </c>
      <c r="K18" s="25" t="n">
        <v>97</v>
      </c>
      <c r="L18" s="41" t="n">
        <v>96</v>
      </c>
      <c r="M18" s="41" t="n">
        <v>-1</v>
      </c>
      <c r="N18" s="27">
        <f>(L18/K18)*100</f>
        <v/>
      </c>
      <c r="O18" s="12" t="inlineStr">
        <is>
          <t>Verde</t>
        </is>
      </c>
      <c r="P18" t="n">
        <v>3</v>
      </c>
    </row>
    <row r="19" ht="15.75" customHeight="1" s="44"/>
    <row r="20" ht="15.75" customHeight="1" s="44"/>
    <row r="21" ht="15.75" customHeight="1" s="44">
      <c r="A21" s="48" t="inlineStr">
        <is>
          <t>FÓRMULAS APLICADAS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</row>
    <row r="22" ht="15.75" customHeight="1" s="44">
      <c r="A22" s="30" t="inlineStr">
        <is>
          <t>PORCENTAJE</t>
        </is>
      </c>
      <c r="B22" s="21" t="inlineStr">
        <is>
          <t>(NUMERADOR / DENOMINADOR) × 100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</row>
    <row r="23" ht="15.75" customHeight="1" s="44">
      <c r="A23" s="30" t="inlineStr">
        <is>
          <t>AVANCE_T1</t>
        </is>
      </c>
      <c r="B23" s="21" t="inlineStr">
        <is>
          <t>min((RESULTADO_OBTENIDO / RESULTADO_ESPERADO) × 100 , 100)  — Directiva CEPLAN, indicador ascendente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</row>
    <row r="24" ht="15.75" customHeight="1" s="44">
      <c r="A24" s="30" t="inlineStr">
        <is>
          <t>SEMAFORO_CEPLAN</t>
        </is>
      </c>
      <c r="B24" s="21" t="inlineStr">
        <is>
          <t>Verde ≥ 95  |  Amarillo ≥ 75 y &lt; 95  |  Rojo &lt; 75  — Resolución N° 0056-2024-Ceplan/PCD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</row>
    <row r="25" ht="15.75" customHeight="1" s="44">
      <c r="A25" s="31" t="inlineStr">
        <is>
          <t>AVANCE T1 – Descendente</t>
        </is>
      </c>
      <c r="B25" s="32" t="inlineStr">
        <is>
          <t>Si OBTENIDO ≤ ESPERADO → 100.  Si no: (ESPERADO / OBTENIDO) × 100.  Aplica a indicadores donde menor es mejor (ej: M2.2 ≤ 20 días).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</row>
    <row r="26" ht="15.75" customHeight="1" s="44">
      <c r="A26" s="30" t="inlineStr">
        <is>
          <t>Meses en azul</t>
        </is>
      </c>
      <c r="B26" s="21" t="inlineStr">
        <is>
          <t>Julio y Agosto = datos de proyección tras acción de mejora</t>
        </is>
      </c>
      <c r="C26" s="46" t="n"/>
      <c r="D26" s="46" t="n"/>
      <c r="E26" s="46" t="n"/>
      <c r="F26" s="46" t="n"/>
      <c r="G26" s="46" t="n"/>
      <c r="H26" s="46" t="n"/>
      <c r="I26" s="46" t="n"/>
      <c r="J26" s="46" t="n"/>
      <c r="K26" s="46" t="n"/>
      <c r="L26" s="46" t="n"/>
      <c r="M26" s="46" t="n"/>
      <c r="N26" s="46" t="n"/>
      <c r="O26" s="46" t="n"/>
    </row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/>
    <row r="44" ht="15.75" customHeight="1" s="44">
      <c r="A44" s="33" t="inlineStr">
        <is>
          <t>CODIGO_PROCESO</t>
        </is>
      </c>
      <c r="B44" s="33" t="inlineStr">
        <is>
          <t>PROCESOS</t>
        </is>
      </c>
      <c r="C44" s="33" t="inlineStr">
        <is>
          <t>META</t>
        </is>
      </c>
      <c r="D44" s="33" t="n"/>
      <c r="E44" s="33" t="n"/>
      <c r="F44" s="33" t="inlineStr">
        <is>
          <t>MES</t>
        </is>
      </c>
      <c r="G44" s="33" t="inlineStr">
        <is>
          <t>NUMERADOR</t>
        </is>
      </c>
      <c r="H44" s="33" t="inlineStr">
        <is>
          <t>DENOMINADOR</t>
        </is>
      </c>
      <c r="I44" s="33" t="inlineStr">
        <is>
          <t>RESULTADO_ESPERADO</t>
        </is>
      </c>
      <c r="J44" s="33" t="inlineStr">
        <is>
          <t>RESULTADO_OBTENIDO</t>
        </is>
      </c>
      <c r="K44" s="33" t="inlineStr">
        <is>
          <t>DIFERENCIA</t>
        </is>
      </c>
      <c r="L44" s="33" t="inlineStr">
        <is>
          <t>CUMPLE_MES</t>
        </is>
      </c>
    </row>
    <row r="45" ht="15.75" customHeight="1" s="44">
      <c r="A45" s="33" t="inlineStr">
        <is>
          <t>M2</t>
        </is>
      </c>
      <c r="B45" s="33" t="inlineStr">
        <is>
          <t>Provisión e Intercambio de Servicios de Información</t>
        </is>
      </c>
      <c r="C45" s="33" t="inlineStr">
        <is>
          <t>≥ 95%</t>
        </is>
      </c>
      <c r="D45" s="33" t="n"/>
      <c r="E45" s="33" t="n"/>
      <c r="F45" s="33" t="inlineStr">
        <is>
          <t>Enero</t>
        </is>
      </c>
      <c r="G45" s="33" t="n">
        <v>48</v>
      </c>
      <c r="H45" s="33" t="n">
        <v>50</v>
      </c>
      <c r="I45" s="33" t="n">
        <v>70</v>
      </c>
      <c r="J45" s="33" t="n">
        <v>96</v>
      </c>
      <c r="K45" s="33">
        <f>J45-I45</f>
        <v/>
      </c>
      <c r="L45" s="33" t="inlineStr">
        <is>
          <t>SÍ</t>
        </is>
      </c>
    </row>
    <row r="46" ht="15.75" customHeight="1" s="44">
      <c r="A46" s="33" t="inlineStr">
        <is>
          <t>M2</t>
        </is>
      </c>
      <c r="B46" s="33" t="inlineStr">
        <is>
          <t>Provisión e Intercambio de Servicios de Información</t>
        </is>
      </c>
      <c r="C46" s="33" t="inlineStr">
        <is>
          <t>≥ 95%</t>
        </is>
      </c>
      <c r="D46" s="33" t="n"/>
      <c r="E46" s="33" t="n"/>
      <c r="F46" s="33" t="inlineStr">
        <is>
          <t>Febrero</t>
        </is>
      </c>
      <c r="G46" s="33" t="n">
        <v>49</v>
      </c>
      <c r="H46" s="33" t="n">
        <v>51</v>
      </c>
      <c r="I46" s="33" t="n">
        <v>72</v>
      </c>
      <c r="J46" s="33" t="n">
        <v>96.09999999999999</v>
      </c>
      <c r="K46" s="33">
        <f>J46-I46</f>
        <v/>
      </c>
      <c r="L46" s="33" t="inlineStr">
        <is>
          <t>SÍ</t>
        </is>
      </c>
    </row>
    <row r="47" ht="15.75" customHeight="1" s="44">
      <c r="A47" s="33" t="inlineStr">
        <is>
          <t>M2</t>
        </is>
      </c>
      <c r="B47" s="33" t="inlineStr">
        <is>
          <t>Provisión e Intercambio de Servicios de Información</t>
        </is>
      </c>
      <c r="C47" s="33" t="inlineStr">
        <is>
          <t>≥ 95%</t>
        </is>
      </c>
      <c r="D47" s="33" t="n"/>
      <c r="E47" s="33" t="n"/>
      <c r="F47" s="33" t="inlineStr">
        <is>
          <t>Marzo</t>
        </is>
      </c>
      <c r="G47" s="33" t="n">
        <v>48</v>
      </c>
      <c r="H47" s="33" t="n">
        <v>50</v>
      </c>
      <c r="I47" s="33" t="n">
        <v>75</v>
      </c>
      <c r="J47" s="33" t="n">
        <v>96</v>
      </c>
      <c r="K47" s="33">
        <f>J47-I47</f>
        <v/>
      </c>
      <c r="L47" s="33" t="inlineStr">
        <is>
          <t>SÍ</t>
        </is>
      </c>
    </row>
    <row r="48" ht="15.75" customHeight="1" s="44">
      <c r="A48" s="33" t="inlineStr">
        <is>
          <t>M2</t>
        </is>
      </c>
      <c r="B48" s="33" t="inlineStr">
        <is>
          <t>Provisión e Intercambio de Servicios de Información</t>
        </is>
      </c>
      <c r="C48" s="33" t="inlineStr">
        <is>
          <t>≥ 95%</t>
        </is>
      </c>
      <c r="D48" s="33" t="n"/>
      <c r="E48" s="33" t="n"/>
      <c r="F48" s="33" t="inlineStr">
        <is>
          <t>Abril</t>
        </is>
      </c>
      <c r="G48" s="33" t="n">
        <v>52</v>
      </c>
      <c r="H48" s="33" t="n">
        <v>54</v>
      </c>
      <c r="I48" s="33" t="n">
        <v>80</v>
      </c>
      <c r="J48" s="33" t="n">
        <v>96.3</v>
      </c>
      <c r="K48" s="33">
        <f>J48-I48</f>
        <v/>
      </c>
      <c r="L48" s="33" t="inlineStr">
        <is>
          <t>SÍ</t>
        </is>
      </c>
    </row>
    <row r="49" ht="15.75" customHeight="1" s="44">
      <c r="A49" s="33" t="inlineStr">
        <is>
          <t>M2</t>
        </is>
      </c>
      <c r="B49" s="33" t="inlineStr">
        <is>
          <t>Provisión e Intercambio de Servicios de Información</t>
        </is>
      </c>
      <c r="C49" s="33" t="inlineStr">
        <is>
          <t>≥ 95%</t>
        </is>
      </c>
      <c r="D49" s="33" t="n"/>
      <c r="E49" s="33" t="n"/>
      <c r="F49" s="33" t="inlineStr">
        <is>
          <t>Mayo</t>
        </is>
      </c>
      <c r="G49" s="33" t="n">
        <v>57</v>
      </c>
      <c r="H49" s="33" t="n">
        <v>60</v>
      </c>
      <c r="I49" s="33" t="n">
        <v>85</v>
      </c>
      <c r="J49" s="33" t="n">
        <v>95</v>
      </c>
      <c r="K49" s="33">
        <f>J49-I49</f>
        <v/>
      </c>
      <c r="L49" s="33" t="inlineStr">
        <is>
          <t>SÍ</t>
        </is>
      </c>
    </row>
    <row r="50" ht="15.75" customHeight="1" s="44">
      <c r="A50" s="33" t="inlineStr">
        <is>
          <t>M2.1</t>
        </is>
      </c>
      <c r="B50" s="33" t="inlineStr">
        <is>
          <t>Gestión de solicitudes de interoperabilidad</t>
        </is>
      </c>
      <c r="C50" s="33" t="inlineStr">
        <is>
          <t>≥ 95%</t>
        </is>
      </c>
      <c r="D50" s="33" t="n"/>
      <c r="E50" s="33" t="n"/>
      <c r="F50" s="33" t="inlineStr">
        <is>
          <t>Enero</t>
        </is>
      </c>
      <c r="G50" s="33" t="n">
        <v>78</v>
      </c>
      <c r="H50" s="33" t="n">
        <v>92</v>
      </c>
      <c r="I50" s="33" t="n">
        <v>75</v>
      </c>
      <c r="J50" s="33" t="n">
        <v>84.8</v>
      </c>
      <c r="K50" s="33">
        <f>J50-I50</f>
        <v/>
      </c>
      <c r="L50" s="33" t="inlineStr">
        <is>
          <t>SÍ</t>
        </is>
      </c>
      <c r="P50" s="0" t="n">
        <v>1</v>
      </c>
    </row>
    <row r="51" ht="15.75" customHeight="1" s="44">
      <c r="A51" s="33" t="inlineStr">
        <is>
          <t>M2.1</t>
        </is>
      </c>
      <c r="B51" s="33" t="inlineStr">
        <is>
          <t>Gestión de solicitudes de interoperabilidad</t>
        </is>
      </c>
      <c r="C51" s="33" t="inlineStr">
        <is>
          <t>≥ 95%</t>
        </is>
      </c>
      <c r="D51" s="33" t="n"/>
      <c r="E51" s="33" t="n"/>
      <c r="F51" s="33" t="inlineStr">
        <is>
          <t>Febrero</t>
        </is>
      </c>
      <c r="G51" s="33" t="n">
        <v>85</v>
      </c>
      <c r="H51" s="33" t="n">
        <v>92</v>
      </c>
      <c r="I51" s="33" t="n">
        <v>80</v>
      </c>
      <c r="J51" s="33" t="n">
        <v>92.40000000000001</v>
      </c>
      <c r="K51" s="33">
        <f>J51-I51</f>
        <v/>
      </c>
      <c r="L51" s="33" t="inlineStr">
        <is>
          <t>SÍ</t>
        </is>
      </c>
      <c r="P51" s="0" t="n">
        <v>1</v>
      </c>
    </row>
    <row r="52" ht="15.75" customHeight="1" s="44">
      <c r="A52" s="33" t="inlineStr">
        <is>
          <t>M2.1</t>
        </is>
      </c>
      <c r="B52" s="33" t="inlineStr">
        <is>
          <t>Gestión de solicitudes de interoperabilidad</t>
        </is>
      </c>
      <c r="C52" s="33" t="inlineStr">
        <is>
          <t>≥ 95%</t>
        </is>
      </c>
      <c r="D52" s="33" t="n"/>
      <c r="E52" s="33" t="n"/>
      <c r="F52" s="33" t="inlineStr">
        <is>
          <t>Marzo</t>
        </is>
      </c>
      <c r="G52" s="33" t="n">
        <v>94</v>
      </c>
      <c r="H52" s="33" t="n">
        <v>98</v>
      </c>
      <c r="I52" s="33" t="n">
        <v>85</v>
      </c>
      <c r="J52" s="33" t="n">
        <v>95.90000000000001</v>
      </c>
      <c r="K52" s="33">
        <f>J52-I52</f>
        <v/>
      </c>
      <c r="L52" s="33" t="inlineStr">
        <is>
          <t>SÍ</t>
        </is>
      </c>
      <c r="P52" s="0" t="n">
        <v>1</v>
      </c>
    </row>
    <row r="53" ht="15.75" customHeight="1" s="44">
      <c r="A53" s="33" t="inlineStr">
        <is>
          <t>M2.1</t>
        </is>
      </c>
      <c r="B53" s="33" t="inlineStr">
        <is>
          <t>Gestión de solicitudes de interoperabilidad</t>
        </is>
      </c>
      <c r="C53" s="33" t="inlineStr">
        <is>
          <t>≥ 95%</t>
        </is>
      </c>
      <c r="D53" s="33" t="n"/>
      <c r="E53" s="33" t="n"/>
      <c r="F53" s="33" t="inlineStr">
        <is>
          <t>Abril</t>
        </is>
      </c>
      <c r="G53" s="33" t="n">
        <v>79</v>
      </c>
      <c r="H53" s="33" t="n">
        <v>87</v>
      </c>
      <c r="I53" s="33" t="n">
        <v>88</v>
      </c>
      <c r="J53" s="33" t="n">
        <v>90.8</v>
      </c>
      <c r="K53" s="33">
        <f>J53-I53</f>
        <v/>
      </c>
      <c r="L53" s="33" t="inlineStr">
        <is>
          <t>SÍ</t>
        </is>
      </c>
      <c r="P53" s="0" t="n">
        <v>1</v>
      </c>
    </row>
    <row r="54" ht="15.75" customHeight="1" s="44">
      <c r="A54" s="33" t="inlineStr">
        <is>
          <t>M2.1</t>
        </is>
      </c>
      <c r="B54" s="33" t="inlineStr">
        <is>
          <t>Gestión de solicitudes de interoperabilidad</t>
        </is>
      </c>
      <c r="C54" s="33" t="inlineStr">
        <is>
          <t>≥ 95%</t>
        </is>
      </c>
      <c r="D54" s="33" t="n"/>
      <c r="E54" s="33" t="n"/>
      <c r="F54" s="33" t="inlineStr">
        <is>
          <t>Mayo</t>
        </is>
      </c>
      <c r="G54" s="33" t="n">
        <v>96</v>
      </c>
      <c r="H54" s="33" t="n">
        <v>100</v>
      </c>
      <c r="I54" s="33" t="n">
        <v>90</v>
      </c>
      <c r="J54" s="33" t="n">
        <v>96</v>
      </c>
      <c r="K54" s="33">
        <f>J54-I54</f>
        <v/>
      </c>
      <c r="L54" s="33" t="inlineStr">
        <is>
          <t>SÍ</t>
        </is>
      </c>
      <c r="P54" s="0" t="n">
        <v>1</v>
      </c>
    </row>
    <row r="55" ht="15.75" customHeight="1" s="44">
      <c r="A55" s="33" t="inlineStr">
        <is>
          <t>M2.2</t>
        </is>
      </c>
      <c r="B55" s="33" t="inlineStr">
        <is>
          <t>Diseño y configuración de integración</t>
        </is>
      </c>
      <c r="C55" s="33" t="inlineStr">
        <is>
          <t>&lt;= 20</t>
        </is>
      </c>
      <c r="D55" s="33" t="n"/>
      <c r="E55" s="33" t="n"/>
      <c r="F55" s="33" t="inlineStr">
        <is>
          <t>Enero</t>
        </is>
      </c>
      <c r="G55" s="33" t="n">
        <v>555</v>
      </c>
      <c r="H55" s="33" t="n">
        <v>30</v>
      </c>
      <c r="I55" s="33" t="n">
        <v>30</v>
      </c>
      <c r="J55" s="33" t="n">
        <v>18.5</v>
      </c>
      <c r="K55" s="33">
        <f>J55-I55</f>
        <v/>
      </c>
      <c r="L55" s="33" t="inlineStr">
        <is>
          <t>NO</t>
        </is>
      </c>
      <c r="P55" s="0" t="n">
        <v>2</v>
      </c>
    </row>
    <row r="56" ht="15.75" customHeight="1" s="44">
      <c r="A56" s="33" t="inlineStr">
        <is>
          <t>M2.2</t>
        </is>
      </c>
      <c r="B56" s="33" t="inlineStr">
        <is>
          <t>Diseño y configuración de integración</t>
        </is>
      </c>
      <c r="C56" s="33" t="inlineStr">
        <is>
          <t>&lt;= 20</t>
        </is>
      </c>
      <c r="D56" s="33" t="n"/>
      <c r="E56" s="33" t="n"/>
      <c r="F56" s="33" t="inlineStr">
        <is>
          <t>Febrero</t>
        </is>
      </c>
      <c r="G56" s="33" t="n">
        <v>462</v>
      </c>
      <c r="H56" s="33" t="n">
        <v>22</v>
      </c>
      <c r="I56" s="33" t="n">
        <v>28</v>
      </c>
      <c r="J56" s="33" t="n">
        <v>21</v>
      </c>
      <c r="K56" s="33">
        <f>J56-I56</f>
        <v/>
      </c>
      <c r="L56" s="33" t="inlineStr">
        <is>
          <t>NO</t>
        </is>
      </c>
      <c r="P56" s="0" t="n">
        <v>2</v>
      </c>
    </row>
    <row r="57" ht="15.75" customHeight="1" s="44">
      <c r="A57" s="33" t="inlineStr">
        <is>
          <t>M2.2</t>
        </is>
      </c>
      <c r="B57" s="33" t="inlineStr">
        <is>
          <t>Diseño y configuración de integración</t>
        </is>
      </c>
      <c r="C57" s="33" t="inlineStr">
        <is>
          <t>&lt;= 20</t>
        </is>
      </c>
      <c r="D57" s="33" t="n"/>
      <c r="E57" s="33" t="n"/>
      <c r="F57" s="33" t="inlineStr">
        <is>
          <t>Marzo</t>
        </is>
      </c>
      <c r="G57" s="33" t="n">
        <v>380</v>
      </c>
      <c r="H57" s="33" t="n">
        <v>19</v>
      </c>
      <c r="I57" s="33" t="n">
        <v>26</v>
      </c>
      <c r="J57" s="33" t="n">
        <v>20</v>
      </c>
      <c r="K57" s="33">
        <f>J57-I57</f>
        <v/>
      </c>
      <c r="L57" s="33" t="inlineStr">
        <is>
          <t>NO</t>
        </is>
      </c>
      <c r="P57" s="0" t="n">
        <v>2</v>
      </c>
    </row>
    <row r="58" ht="15.75" customHeight="1" s="44">
      <c r="A58" s="33" t="inlineStr">
        <is>
          <t>M2.2</t>
        </is>
      </c>
      <c r="B58" s="33" t="inlineStr">
        <is>
          <t>Diseño y configuración de integración</t>
        </is>
      </c>
      <c r="C58" s="33" t="inlineStr">
        <is>
          <t>&lt;= 20</t>
        </is>
      </c>
      <c r="D58" s="33" t="n"/>
      <c r="E58" s="33" t="n"/>
      <c r="F58" s="33" t="inlineStr">
        <is>
          <t>Abril</t>
        </is>
      </c>
      <c r="G58" s="33" t="n">
        <v>400</v>
      </c>
      <c r="H58" s="33" t="n">
        <v>23</v>
      </c>
      <c r="I58" s="33" t="n">
        <v>24</v>
      </c>
      <c r="J58" s="33" t="n">
        <v>17.4</v>
      </c>
      <c r="K58" s="33">
        <f>J58-I58</f>
        <v/>
      </c>
      <c r="L58" s="33" t="inlineStr">
        <is>
          <t>NO</t>
        </is>
      </c>
      <c r="P58" s="0" t="n">
        <v>2</v>
      </c>
    </row>
    <row r="59" ht="15.75" customHeight="1" s="44">
      <c r="A59" s="33" t="inlineStr">
        <is>
          <t>M2.2</t>
        </is>
      </c>
      <c r="B59" s="33" t="inlineStr">
        <is>
          <t>Diseño y configuración de integración</t>
        </is>
      </c>
      <c r="C59" s="33" t="inlineStr">
        <is>
          <t>&lt;= 20</t>
        </is>
      </c>
      <c r="D59" s="33" t="n"/>
      <c r="E59" s="33" t="n"/>
      <c r="F59" s="33" t="inlineStr">
        <is>
          <t>Mayo</t>
        </is>
      </c>
      <c r="G59" s="33" t="n">
        <v>350</v>
      </c>
      <c r="H59" s="33" t="n">
        <v>20</v>
      </c>
      <c r="I59" s="33" t="n">
        <v>22</v>
      </c>
      <c r="J59" s="33" t="n">
        <v>17.5</v>
      </c>
      <c r="K59" s="33">
        <f>J59-I59</f>
        <v/>
      </c>
      <c r="L59" s="33" t="inlineStr">
        <is>
          <t>NO</t>
        </is>
      </c>
      <c r="P59" s="0" t="n">
        <v>2</v>
      </c>
    </row>
    <row r="60" ht="15.75" customHeight="1" s="44">
      <c r="A60" s="33" t="inlineStr">
        <is>
          <t>M2.3</t>
        </is>
      </c>
      <c r="B60" s="33" t="inlineStr">
        <is>
          <t>Ejecución de pruebas de interoperabilidad</t>
        </is>
      </c>
      <c r="C60" s="33" t="inlineStr">
        <is>
          <t>≥ 95%</t>
        </is>
      </c>
      <c r="D60" s="33" t="n"/>
      <c r="E60" s="33" t="n"/>
      <c r="F60" s="33" t="inlineStr">
        <is>
          <t>Enero</t>
        </is>
      </c>
      <c r="G60" s="33" t="n">
        <v>30</v>
      </c>
      <c r="H60" s="33" t="n">
        <v>40</v>
      </c>
      <c r="I60" s="33" t="n">
        <v>70</v>
      </c>
      <c r="J60" s="33" t="n">
        <v>75</v>
      </c>
      <c r="K60" s="33">
        <f>J60-I60</f>
        <v/>
      </c>
      <c r="L60" s="33" t="inlineStr">
        <is>
          <t>SÍ</t>
        </is>
      </c>
      <c r="P60" t="n">
        <v>3</v>
      </c>
    </row>
    <row r="61" ht="15.75" customHeight="1" s="44">
      <c r="A61" s="33" t="inlineStr">
        <is>
          <t>M2.3</t>
        </is>
      </c>
      <c r="B61" s="33" t="inlineStr">
        <is>
          <t>Ejecución de pruebas de interoperabilidad</t>
        </is>
      </c>
      <c r="C61" s="33" t="inlineStr">
        <is>
          <t>≥ 95%</t>
        </is>
      </c>
      <c r="D61" s="33" t="n"/>
      <c r="E61" s="33" t="n"/>
      <c r="F61" s="33" t="inlineStr">
        <is>
          <t>Febrero</t>
        </is>
      </c>
      <c r="G61" s="33" t="n">
        <v>41</v>
      </c>
      <c r="H61" s="33" t="n">
        <v>45</v>
      </c>
      <c r="I61" s="33" t="n">
        <v>75</v>
      </c>
      <c r="J61" s="33" t="n">
        <v>91.09999999999999</v>
      </c>
      <c r="K61" s="33">
        <f>J61-I61</f>
        <v/>
      </c>
      <c r="L61" s="33" t="inlineStr">
        <is>
          <t>SÍ</t>
        </is>
      </c>
      <c r="P61" t="n">
        <v>3</v>
      </c>
    </row>
    <row r="62" ht="15.75" customHeight="1" s="44">
      <c r="A62" s="33" t="inlineStr">
        <is>
          <t>M2.3</t>
        </is>
      </c>
      <c r="B62" s="33" t="inlineStr">
        <is>
          <t>Ejecución de pruebas de interoperabilidad</t>
        </is>
      </c>
      <c r="C62" s="33" t="inlineStr">
        <is>
          <t>≥ 95%</t>
        </is>
      </c>
      <c r="D62" s="33" t="n"/>
      <c r="E62" s="33" t="n"/>
      <c r="F62" s="33" t="inlineStr">
        <is>
          <t>Marzo</t>
        </is>
      </c>
      <c r="G62" s="33" t="n">
        <v>44</v>
      </c>
      <c r="H62" s="33" t="n">
        <v>46</v>
      </c>
      <c r="I62" s="33" t="n">
        <v>78</v>
      </c>
      <c r="J62" s="33" t="n">
        <v>95.7</v>
      </c>
      <c r="K62" s="33">
        <f>J62-I62</f>
        <v/>
      </c>
      <c r="L62" s="33" t="inlineStr">
        <is>
          <t>SÍ</t>
        </is>
      </c>
      <c r="P62" t="n">
        <v>3</v>
      </c>
    </row>
    <row r="63" ht="15.75" customHeight="1" s="44">
      <c r="A63" s="33" t="inlineStr">
        <is>
          <t>M2.3</t>
        </is>
      </c>
      <c r="B63" s="33" t="inlineStr">
        <is>
          <t>Ejecución de pruebas de interoperabilidad</t>
        </is>
      </c>
      <c r="C63" s="33" t="inlineStr">
        <is>
          <t>≥ 95%</t>
        </is>
      </c>
      <c r="D63" s="33" t="n"/>
      <c r="E63" s="33" t="n"/>
      <c r="F63" s="33" t="inlineStr">
        <is>
          <t>Abril</t>
        </is>
      </c>
      <c r="G63" s="33" t="n">
        <v>35</v>
      </c>
      <c r="H63" s="33" t="n">
        <v>38</v>
      </c>
      <c r="I63" s="33" t="n">
        <v>81</v>
      </c>
      <c r="J63" s="33" t="n">
        <v>92.09999999999999</v>
      </c>
      <c r="K63" s="33">
        <f>J63-I63</f>
        <v/>
      </c>
      <c r="L63" s="33" t="inlineStr">
        <is>
          <t>SÍ</t>
        </is>
      </c>
      <c r="P63" t="n">
        <v>3</v>
      </c>
    </row>
    <row r="64" ht="15.75" customHeight="1" s="44">
      <c r="A64" s="33" t="inlineStr">
        <is>
          <t>M2.3</t>
        </is>
      </c>
      <c r="B64" s="33" t="inlineStr">
        <is>
          <t>Ejecución de pruebas de interoperabilidad</t>
        </is>
      </c>
      <c r="C64" s="33" t="inlineStr">
        <is>
          <t>≥ 95%</t>
        </is>
      </c>
      <c r="D64" s="33" t="n"/>
      <c r="E64" s="33" t="n"/>
      <c r="F64" s="33" t="inlineStr">
        <is>
          <t>Mayo</t>
        </is>
      </c>
      <c r="G64" s="33" t="n">
        <v>48</v>
      </c>
      <c r="H64" s="33" t="n">
        <v>50</v>
      </c>
      <c r="I64" s="33" t="n">
        <v>85</v>
      </c>
      <c r="J64" s="33" t="n">
        <v>96</v>
      </c>
      <c r="K64" s="33">
        <f>J64-I64</f>
        <v/>
      </c>
      <c r="L64" s="33" t="inlineStr">
        <is>
          <t>SÍ</t>
        </is>
      </c>
      <c r="P64" t="n">
        <v>3</v>
      </c>
    </row>
    <row r="65" ht="15.75" customHeight="1" s="44">
      <c r="A65" s="33" t="inlineStr">
        <is>
          <t>M2.1.3</t>
        </is>
      </c>
      <c r="B65" s="33" t="inlineStr">
        <is>
          <t>Análisis de requerimientos</t>
        </is>
      </c>
      <c r="C65" s="33" t="inlineStr">
        <is>
          <t>≥ 95%</t>
        </is>
      </c>
      <c r="D65" s="33" t="n"/>
      <c r="E65" s="33" t="n"/>
      <c r="F65" s="33" t="inlineStr">
        <is>
          <t>Enero</t>
        </is>
      </c>
      <c r="G65" s="33" t="n">
        <v>40</v>
      </c>
      <c r="H65" s="33" t="n">
        <v>50</v>
      </c>
      <c r="I65" s="33" t="n">
        <v>70</v>
      </c>
      <c r="J65" s="33" t="n">
        <v>80</v>
      </c>
      <c r="K65" s="33">
        <f>J65-I65</f>
        <v/>
      </c>
      <c r="L65" s="33" t="inlineStr">
        <is>
          <t>SÍ</t>
        </is>
      </c>
    </row>
    <row r="66" ht="15.75" customHeight="1" s="44">
      <c r="A66" s="33" t="inlineStr">
        <is>
          <t>M2.1.3</t>
        </is>
      </c>
      <c r="B66" s="33" t="inlineStr">
        <is>
          <t>Análisis de requerimientos</t>
        </is>
      </c>
      <c r="C66" s="33" t="inlineStr">
        <is>
          <t>≥ 95%</t>
        </is>
      </c>
      <c r="D66" s="33" t="n"/>
      <c r="E66" s="33" t="n"/>
      <c r="F66" s="33" t="inlineStr">
        <is>
          <t>Febrero</t>
        </is>
      </c>
      <c r="G66" s="33" t="n">
        <v>50</v>
      </c>
      <c r="H66" s="33" t="n">
        <v>52</v>
      </c>
      <c r="I66" s="33" t="n">
        <v>75</v>
      </c>
      <c r="J66" s="33" t="n">
        <v>96.2</v>
      </c>
      <c r="K66" s="33">
        <f>J66-I66</f>
        <v/>
      </c>
      <c r="L66" s="33" t="inlineStr">
        <is>
          <t>SÍ</t>
        </is>
      </c>
    </row>
    <row r="67" ht="15.75" customHeight="1" s="44">
      <c r="A67" s="33" t="inlineStr">
        <is>
          <t>M2.1.3</t>
        </is>
      </c>
      <c r="B67" s="33" t="inlineStr">
        <is>
          <t>Análisis de requerimientos</t>
        </is>
      </c>
      <c r="C67" s="33" t="inlineStr">
        <is>
          <t>≥ 95%</t>
        </is>
      </c>
      <c r="D67" s="33" t="n"/>
      <c r="E67" s="33" t="n"/>
      <c r="F67" s="33" t="inlineStr">
        <is>
          <t>Marzo</t>
        </is>
      </c>
      <c r="G67" s="33" t="n">
        <v>47</v>
      </c>
      <c r="H67" s="33" t="n">
        <v>50</v>
      </c>
      <c r="I67" s="33" t="n">
        <v>80</v>
      </c>
      <c r="J67" s="33" t="n">
        <v>94</v>
      </c>
      <c r="K67" s="33">
        <f>J67-I67</f>
        <v/>
      </c>
      <c r="L67" s="33" t="inlineStr">
        <is>
          <t>SÍ</t>
        </is>
      </c>
    </row>
    <row r="68" ht="15.75" customHeight="1" s="44">
      <c r="A68" s="33" t="inlineStr">
        <is>
          <t>M2.1.3</t>
        </is>
      </c>
      <c r="B68" s="33" t="inlineStr">
        <is>
          <t>Análisis de requerimientos</t>
        </is>
      </c>
      <c r="C68" s="33" t="inlineStr">
        <is>
          <t>≥ 95%</t>
        </is>
      </c>
      <c r="D68" s="33" t="n"/>
      <c r="E68" s="33" t="n"/>
      <c r="F68" s="33" t="inlineStr">
        <is>
          <t>Abril</t>
        </is>
      </c>
      <c r="G68" s="33" t="n">
        <v>53</v>
      </c>
      <c r="H68" s="33" t="n">
        <v>55</v>
      </c>
      <c r="I68" s="33" t="n">
        <v>82</v>
      </c>
      <c r="J68" s="33" t="n">
        <v>96.40000000000001</v>
      </c>
      <c r="K68" s="33">
        <f>J68-I68</f>
        <v/>
      </c>
      <c r="L68" s="33" t="inlineStr">
        <is>
          <t>SÍ</t>
        </is>
      </c>
    </row>
    <row r="69" ht="15.75" customHeight="1" s="44">
      <c r="A69" s="33" t="inlineStr">
        <is>
          <t>M2.1.3</t>
        </is>
      </c>
      <c r="B69" s="33" t="inlineStr">
        <is>
          <t>Análisis de requerimientos</t>
        </is>
      </c>
      <c r="C69" s="33" t="inlineStr">
        <is>
          <t>≥ 95%</t>
        </is>
      </c>
      <c r="D69" s="33" t="n"/>
      <c r="E69" s="33" t="n"/>
      <c r="F69" s="33" t="inlineStr">
        <is>
          <t>Mayo</t>
        </is>
      </c>
      <c r="G69" s="33" t="n">
        <v>58</v>
      </c>
      <c r="H69" s="33" t="n">
        <v>60</v>
      </c>
      <c r="I69" s="33" t="n">
        <v>85</v>
      </c>
      <c r="J69" s="33" t="n">
        <v>96.7</v>
      </c>
      <c r="K69" s="33">
        <f>J69-I69</f>
        <v/>
      </c>
      <c r="L69" s="33" t="inlineStr">
        <is>
          <t>SÍ</t>
        </is>
      </c>
    </row>
    <row r="70" ht="15.75" customHeight="1" s="44">
      <c r="A70" s="33" t="inlineStr">
        <is>
          <t>M2.2.1</t>
        </is>
      </c>
      <c r="B70" s="33" t="inlineStr">
        <is>
          <t>Definición de arquitectura de integración</t>
        </is>
      </c>
      <c r="C70" s="33" t="inlineStr">
        <is>
          <t>≥ 95%</t>
        </is>
      </c>
      <c r="D70" s="33" t="n"/>
      <c r="E70" s="33" t="n"/>
      <c r="F70" s="33" t="inlineStr">
        <is>
          <t>Enero</t>
        </is>
      </c>
      <c r="G70" s="33" t="n">
        <v>650</v>
      </c>
      <c r="H70" s="33" t="n">
        <v>744</v>
      </c>
      <c r="I70" s="33" t="n">
        <v>90</v>
      </c>
      <c r="J70" s="34" t="n">
        <v>87.40000000000001</v>
      </c>
      <c r="K70" s="34">
        <f>J70-I70</f>
        <v/>
      </c>
      <c r="L70" s="33" t="inlineStr">
        <is>
          <t>NO</t>
        </is>
      </c>
    </row>
    <row r="71" ht="15.75" customHeight="1" s="44">
      <c r="A71" s="33" t="inlineStr">
        <is>
          <t>M2.2.1</t>
        </is>
      </c>
      <c r="B71" s="33" t="inlineStr">
        <is>
          <t>Definición de arquitectura de integración</t>
        </is>
      </c>
      <c r="C71" s="33" t="inlineStr">
        <is>
          <t>≥ 95%</t>
        </is>
      </c>
      <c r="D71" s="33" t="n"/>
      <c r="E71" s="33" t="n"/>
      <c r="F71" s="33" t="inlineStr">
        <is>
          <t>Febrero</t>
        </is>
      </c>
      <c r="G71" s="33" t="n">
        <v>655</v>
      </c>
      <c r="H71" s="33" t="n">
        <v>672</v>
      </c>
      <c r="I71" s="33" t="n">
        <v>92</v>
      </c>
      <c r="J71" s="34" t="n">
        <v>97.5</v>
      </c>
      <c r="K71" s="34">
        <f>J71-I71</f>
        <v/>
      </c>
      <c r="L71" s="33" t="inlineStr">
        <is>
          <t>SÍ</t>
        </is>
      </c>
    </row>
    <row r="72" ht="15.75" customHeight="1" s="44">
      <c r="A72" s="33" t="inlineStr">
        <is>
          <t>M2.2.1</t>
        </is>
      </c>
      <c r="B72" s="33" t="inlineStr">
        <is>
          <t>Definición de arquitectura de integración</t>
        </is>
      </c>
      <c r="C72" s="33" t="inlineStr">
        <is>
          <t>≥ 95%</t>
        </is>
      </c>
      <c r="D72" s="33" t="n"/>
      <c r="E72" s="33" t="n"/>
      <c r="F72" s="33" t="inlineStr">
        <is>
          <t>Marzo</t>
        </is>
      </c>
      <c r="G72" s="33" t="n">
        <v>718</v>
      </c>
      <c r="H72" s="33" t="n">
        <v>744</v>
      </c>
      <c r="I72" s="33" t="n">
        <v>95</v>
      </c>
      <c r="J72" s="34" t="n">
        <v>96.5</v>
      </c>
      <c r="K72" s="34">
        <f>J72-I72</f>
        <v/>
      </c>
      <c r="L72" s="33" t="inlineStr">
        <is>
          <t>SÍ</t>
        </is>
      </c>
    </row>
    <row r="73" ht="15.75" customHeight="1" s="44">
      <c r="A73" s="33" t="inlineStr">
        <is>
          <t>M2.2.1</t>
        </is>
      </c>
      <c r="B73" s="33" t="inlineStr">
        <is>
          <t>Definición de arquitectura de integración</t>
        </is>
      </c>
      <c r="C73" s="33" t="inlineStr">
        <is>
          <t>≥ 95%</t>
        </is>
      </c>
      <c r="D73" s="33" t="n"/>
      <c r="E73" s="33" t="n"/>
      <c r="F73" s="33" t="inlineStr">
        <is>
          <t>Abril</t>
        </is>
      </c>
      <c r="G73" s="33" t="n">
        <v>700</v>
      </c>
      <c r="H73" s="33" t="n">
        <v>720</v>
      </c>
      <c r="I73" s="33" t="n">
        <v>96</v>
      </c>
      <c r="J73" s="34" t="n">
        <v>97.2</v>
      </c>
      <c r="K73" s="34">
        <f>J73-I73</f>
        <v/>
      </c>
      <c r="L73" s="33" t="inlineStr">
        <is>
          <t>SÍ</t>
        </is>
      </c>
    </row>
    <row r="74" ht="15.75" customHeight="1" s="44">
      <c r="A74" s="33" t="inlineStr">
        <is>
          <t>M2.2.1</t>
        </is>
      </c>
      <c r="B74" s="33" t="inlineStr">
        <is>
          <t>Definición de arquitectura de integración</t>
        </is>
      </c>
      <c r="C74" s="33" t="inlineStr">
        <is>
          <t>≥ 95%</t>
        </is>
      </c>
      <c r="D74" s="33" t="n"/>
      <c r="E74" s="33" t="n"/>
      <c r="F74" s="33" t="inlineStr">
        <is>
          <t>Mayo</t>
        </is>
      </c>
      <c r="G74" s="33" t="n">
        <v>722</v>
      </c>
      <c r="H74" s="33" t="n">
        <v>744</v>
      </c>
      <c r="I74" s="33" t="n">
        <v>98</v>
      </c>
      <c r="J74" s="34" t="n">
        <v>97</v>
      </c>
      <c r="K74" s="34">
        <f>J74-I74</f>
        <v/>
      </c>
      <c r="L74" s="33" t="inlineStr">
        <is>
          <t>NO</t>
        </is>
      </c>
    </row>
    <row r="75" ht="15.75" customHeight="1" s="44">
      <c r="A75" s="33" t="inlineStr">
        <is>
          <t>M2.3.2</t>
        </is>
      </c>
      <c r="B75" s="33" t="inlineStr">
        <is>
          <t>Ejecución de pruebas técnicas</t>
        </is>
      </c>
      <c r="C75" s="33" t="inlineStr">
        <is>
          <t>≥ 95%</t>
        </is>
      </c>
      <c r="D75" s="33" t="n"/>
      <c r="E75" s="33" t="n"/>
      <c r="F75" s="33" t="inlineStr">
        <is>
          <t>Enero</t>
        </is>
      </c>
      <c r="G75" s="33" t="n">
        <v>15</v>
      </c>
      <c r="H75" s="33" t="n">
        <v>20</v>
      </c>
      <c r="I75" s="33" t="n">
        <v>70</v>
      </c>
      <c r="J75" s="33" t="n">
        <v>75</v>
      </c>
      <c r="K75" s="33">
        <f>J75-I75</f>
        <v/>
      </c>
      <c r="L75" s="33" t="inlineStr">
        <is>
          <t>SÍ</t>
        </is>
      </c>
    </row>
    <row r="76" ht="15.75" customHeight="1" s="44">
      <c r="A76" s="33" t="inlineStr">
        <is>
          <t>M2.3.2</t>
        </is>
      </c>
      <c r="B76" s="33" t="inlineStr">
        <is>
          <t>Ejecución de pruebas técnicas</t>
        </is>
      </c>
      <c r="C76" s="33" t="inlineStr">
        <is>
          <t>≥ 95%</t>
        </is>
      </c>
      <c r="D76" s="33" t="n"/>
      <c r="E76" s="33" t="n"/>
      <c r="F76" s="33" t="inlineStr">
        <is>
          <t>Febrero</t>
        </is>
      </c>
      <c r="G76" s="33" t="n">
        <v>17</v>
      </c>
      <c r="H76" s="33" t="n">
        <v>19</v>
      </c>
      <c r="I76" s="33" t="n">
        <v>75</v>
      </c>
      <c r="J76" s="33" t="n">
        <v>89.5</v>
      </c>
      <c r="K76" s="33">
        <f>J76-I76</f>
        <v/>
      </c>
      <c r="L76" s="33" t="inlineStr">
        <is>
          <t>SÍ</t>
        </is>
      </c>
    </row>
    <row r="77" ht="15.75" customHeight="1" s="44">
      <c r="A77" s="33" t="inlineStr">
        <is>
          <t>M2.3.2</t>
        </is>
      </c>
      <c r="B77" s="33" t="inlineStr">
        <is>
          <t>Ejecución de pruebas técnicas</t>
        </is>
      </c>
      <c r="C77" s="33" t="inlineStr">
        <is>
          <t>≥ 95%</t>
        </is>
      </c>
      <c r="D77" s="33" t="n"/>
      <c r="E77" s="33" t="n"/>
      <c r="F77" s="33" t="inlineStr">
        <is>
          <t>Marzo</t>
        </is>
      </c>
      <c r="G77" s="33" t="n">
        <v>21</v>
      </c>
      <c r="H77" s="33" t="n">
        <v>22</v>
      </c>
      <c r="I77" s="33" t="n">
        <v>78</v>
      </c>
      <c r="J77" s="33" t="n">
        <v>95.5</v>
      </c>
      <c r="K77" s="33">
        <f>J77-I77</f>
        <v/>
      </c>
      <c r="L77" s="33" t="inlineStr">
        <is>
          <t>SÍ</t>
        </is>
      </c>
    </row>
    <row r="78" ht="15.75" customHeight="1" s="44">
      <c r="A78" s="33" t="inlineStr">
        <is>
          <t>M2.3.2</t>
        </is>
      </c>
      <c r="B78" s="33" t="inlineStr">
        <is>
          <t>Ejecución de pruebas técnicas</t>
        </is>
      </c>
      <c r="C78" s="33" t="inlineStr">
        <is>
          <t>≥ 95%</t>
        </is>
      </c>
      <c r="D78" s="33" t="n"/>
      <c r="E78" s="33" t="n"/>
      <c r="F78" s="33" t="inlineStr">
        <is>
          <t>Abril</t>
        </is>
      </c>
      <c r="G78" s="33" t="n">
        <v>14</v>
      </c>
      <c r="H78" s="33" t="n">
        <v>16</v>
      </c>
      <c r="I78" s="33" t="n">
        <v>82</v>
      </c>
      <c r="J78" s="33" t="n">
        <v>87.5</v>
      </c>
      <c r="K78" s="33">
        <f>J78-I78</f>
        <v/>
      </c>
      <c r="L78" s="33" t="inlineStr">
        <is>
          <t>SÍ</t>
        </is>
      </c>
    </row>
    <row r="79" ht="15.75" customHeight="1" s="44">
      <c r="A79" s="33" t="inlineStr">
        <is>
          <t>M2.3.2</t>
        </is>
      </c>
      <c r="B79" s="33" t="inlineStr">
        <is>
          <t>Ejecución de pruebas técnicas</t>
        </is>
      </c>
      <c r="C79" s="33" t="inlineStr">
        <is>
          <t>≥ 95%</t>
        </is>
      </c>
      <c r="D79" s="33" t="n"/>
      <c r="E79" s="33" t="n"/>
      <c r="F79" s="33" t="inlineStr">
        <is>
          <t>Mayo</t>
        </is>
      </c>
      <c r="G79" s="33" t="n">
        <v>23</v>
      </c>
      <c r="H79" s="33" t="n">
        <v>24</v>
      </c>
      <c r="I79" s="33" t="n">
        <v>85</v>
      </c>
      <c r="J79" s="33" t="n">
        <v>95.8</v>
      </c>
      <c r="K79" s="33">
        <f>J79-I79</f>
        <v/>
      </c>
      <c r="L79" s="33" t="inlineStr">
        <is>
          <t>SÍ</t>
        </is>
      </c>
    </row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  <row r="1001" ht="15.75" customHeight="1" s="44"/>
  </sheetData>
  <mergeCells count="8">
    <mergeCell ref="B26:O26"/>
    <mergeCell ref="A2:O2"/>
    <mergeCell ref="B24:O24"/>
    <mergeCell ref="A1:O1"/>
    <mergeCell ref="B25:O25"/>
    <mergeCell ref="B23:O23"/>
    <mergeCell ref="B22:O22"/>
    <mergeCell ref="A21:O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P33"/>
  <sheetViews>
    <sheetView workbookViewId="0">
      <selection activeCell="A1" sqref="A1"/>
    </sheetView>
  </sheetViews>
  <sheetFormatPr baseColWidth="8" defaultColWidth="12.63" defaultRowHeight="15" customHeight="1"/>
  <cols>
    <col width="18" customWidth="1" style="44" min="1" max="1"/>
    <col width="37" customWidth="1" style="44" min="2" max="2"/>
    <col width="40.63" customWidth="1" style="44" min="3" max="3"/>
    <col width="14.25" customWidth="1" style="44" min="4" max="5"/>
    <col width="22.13" customWidth="1" style="44" min="10" max="10"/>
    <col width="20.38" customWidth="1" style="44" min="11" max="11"/>
  </cols>
  <sheetData>
    <row r="1" ht="26.25" customHeight="1" s="44">
      <c r="A1" s="49" t="inlineStr">
        <is>
          <t>DATOS ESTANDARIZADOS – M3 | Integración de Sistemas y Plataformas Interoperables | Pasquel Bustillos Jeik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</row>
    <row r="2" ht="19.5" customHeight="1" s="44">
      <c r="A2" s="50" t="inlineStr">
        <is>
          <t>Semaforización CEPLAN (Resolución N° 0056-2024-Ceplan/PCD):   🟢 Verde [95–100] cumplimiento logrado   |   🟡 Amarillo [75–95&gt; desvío moderado   |   🔴 Rojo [0–75&gt; desvío alto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</row>
    <row r="3">
      <c r="A3" s="6" t="inlineStr">
        <is>
          <t>CÓDIGO DE
PROCESO</t>
        </is>
      </c>
      <c r="B3" s="6" t="inlineStr">
        <is>
          <t>PROCESO</t>
        </is>
      </c>
      <c r="C3" s="6" t="inlineStr">
        <is>
          <t>INDICADOR</t>
        </is>
      </c>
      <c r="D3" s="6" t="inlineStr">
        <is>
          <t>Sentido Indicador</t>
        </is>
      </c>
      <c r="E3" s="6" t="inlineStr">
        <is>
          <t>Unidad</t>
        </is>
      </c>
      <c r="F3" s="6" t="inlineStr">
        <is>
          <t>META
FINAL (%)</t>
        </is>
      </c>
      <c r="G3" s="6" t="inlineStr">
        <is>
          <t>AÑO</t>
        </is>
      </c>
      <c r="H3" s="6" t="inlineStr">
        <is>
          <t>MES</t>
        </is>
      </c>
      <c r="I3" s="6" t="inlineStr">
        <is>
          <t>NUMERADOR
(cantidad)</t>
        </is>
      </c>
      <c r="J3" s="6" t="inlineStr">
        <is>
          <t>DENOMINADOR
(cantidad)</t>
        </is>
      </c>
      <c r="K3" s="6" t="inlineStr">
        <is>
          <t>RESULTADO
ESPERADO (%)</t>
        </is>
      </c>
      <c r="L3" s="6" t="inlineStr">
        <is>
          <t>RESULTADO
OBTENIDO (%)</t>
        </is>
      </c>
      <c r="M3" s="6" t="inlineStr">
        <is>
          <t>DIFERENCIA
(pp)</t>
        </is>
      </c>
      <c r="N3" s="6" t="inlineStr">
        <is>
          <t>AVANCE T1
(%)</t>
        </is>
      </c>
      <c r="O3" s="6" t="inlineStr">
        <is>
          <t>SEMÁFORO
CEPLAN</t>
        </is>
      </c>
      <c r="P3" s="0" t="inlineStr">
        <is>
          <t>Relevancia</t>
        </is>
      </c>
    </row>
    <row r="4">
      <c r="A4" s="25" t="inlineStr">
        <is>
          <t>M3.1</t>
        </is>
      </c>
      <c r="B4" s="18" t="inlineStr">
        <is>
          <t>Análisis y Especificación de la Integración</t>
        </is>
      </c>
      <c r="C4" s="18" t="inlineStr">
        <is>
          <t>Tasa de completitud de requerimientos de integración</t>
        </is>
      </c>
      <c r="D4" s="18" t="inlineStr">
        <is>
          <t>Ascendente</t>
        </is>
      </c>
      <c r="E4" s="18" t="inlineStr">
        <is>
          <t>%</t>
        </is>
      </c>
      <c r="F4" s="25" t="n">
        <v>85</v>
      </c>
      <c r="G4" s="25" t="n">
        <v>2026</v>
      </c>
      <c r="H4" s="25" t="inlineStr">
        <is>
          <t>Enero</t>
        </is>
      </c>
      <c r="I4" s="25" t="n">
        <v>2</v>
      </c>
      <c r="J4" s="25" t="n">
        <v>20</v>
      </c>
      <c r="K4" s="25" t="n">
        <v>15</v>
      </c>
      <c r="L4" s="25" t="n">
        <v>10</v>
      </c>
      <c r="M4" s="41" t="n">
        <v>-5</v>
      </c>
      <c r="N4" s="27">
        <f>(L4/K4)*100</f>
        <v/>
      </c>
      <c r="O4" s="42" t="inlineStr">
        <is>
          <t>Rojo</t>
        </is>
      </c>
      <c r="P4" s="0" t="n">
        <v>1</v>
      </c>
    </row>
    <row r="5">
      <c r="A5" s="26" t="inlineStr">
        <is>
          <t>M3.1</t>
        </is>
      </c>
      <c r="B5" s="14" t="inlineStr">
        <is>
          <t>Análisis y Especificación de la Integración</t>
        </is>
      </c>
      <c r="C5" s="14" t="inlineStr">
        <is>
          <t>Tasa de completitud de requerimientos de integración</t>
        </is>
      </c>
      <c r="D5" s="18" t="inlineStr">
        <is>
          <t>Ascendente</t>
        </is>
      </c>
      <c r="E5" s="18" t="inlineStr">
        <is>
          <t>%</t>
        </is>
      </c>
      <c r="F5" s="26" t="n">
        <v>85</v>
      </c>
      <c r="G5" s="26" t="n">
        <v>2026</v>
      </c>
      <c r="H5" s="26" t="inlineStr">
        <is>
          <t>Febrero</t>
        </is>
      </c>
      <c r="I5" s="26" t="n">
        <v>3</v>
      </c>
      <c r="J5" s="26" t="n">
        <v>20</v>
      </c>
      <c r="K5" s="26" t="n">
        <v>25</v>
      </c>
      <c r="L5" s="26" t="n">
        <v>15</v>
      </c>
      <c r="M5" s="27" t="n">
        <v>-10</v>
      </c>
      <c r="N5" s="27">
        <f>(L5/K5)*100</f>
        <v/>
      </c>
      <c r="O5" s="42" t="inlineStr">
        <is>
          <t>Rojo</t>
        </is>
      </c>
      <c r="P5" s="0" t="n">
        <v>1</v>
      </c>
    </row>
    <row r="6">
      <c r="A6" s="25" t="inlineStr">
        <is>
          <t>M3.1</t>
        </is>
      </c>
      <c r="B6" s="18" t="inlineStr">
        <is>
          <t>Análisis y Especificación de la Integración</t>
        </is>
      </c>
      <c r="C6" s="18" t="inlineStr">
        <is>
          <t>Tasa de completitud de requerimientos de integración</t>
        </is>
      </c>
      <c r="D6" s="18" t="inlineStr">
        <is>
          <t>Ascendente</t>
        </is>
      </c>
      <c r="E6" s="18" t="inlineStr">
        <is>
          <t>%</t>
        </is>
      </c>
      <c r="F6" s="25" t="n">
        <v>85</v>
      </c>
      <c r="G6" s="25" t="n">
        <v>2026</v>
      </c>
      <c r="H6" s="25" t="inlineStr">
        <is>
          <t>Marzo</t>
        </is>
      </c>
      <c r="I6" s="25" t="n">
        <v>4</v>
      </c>
      <c r="J6" s="25" t="n">
        <v>18</v>
      </c>
      <c r="K6" s="25" t="n">
        <v>35</v>
      </c>
      <c r="L6" s="25" t="n">
        <v>22</v>
      </c>
      <c r="M6" s="41" t="n">
        <v>-13</v>
      </c>
      <c r="N6" s="27">
        <f>(L6/K6)*100</f>
        <v/>
      </c>
      <c r="O6" s="42" t="inlineStr">
        <is>
          <t>Rojo</t>
        </is>
      </c>
      <c r="P6" s="0" t="n">
        <v>1</v>
      </c>
    </row>
    <row r="7">
      <c r="A7" s="26" t="inlineStr">
        <is>
          <t>M3.1</t>
        </is>
      </c>
      <c r="B7" s="14" t="inlineStr">
        <is>
          <t>Análisis y Especificación de la Integración</t>
        </is>
      </c>
      <c r="C7" s="14" t="inlineStr">
        <is>
          <t>Tasa de completitud de requerimientos de integración</t>
        </is>
      </c>
      <c r="D7" s="18" t="inlineStr">
        <is>
          <t>Ascendente</t>
        </is>
      </c>
      <c r="E7" s="18" t="inlineStr">
        <is>
          <t>%</t>
        </is>
      </c>
      <c r="F7" s="26" t="n">
        <v>85</v>
      </c>
      <c r="G7" s="26" t="n">
        <v>2026</v>
      </c>
      <c r="H7" s="26" t="inlineStr">
        <is>
          <t>Abril</t>
        </is>
      </c>
      <c r="I7" s="26" t="n">
        <v>7</v>
      </c>
      <c r="J7" s="26" t="n">
        <v>20</v>
      </c>
      <c r="K7" s="26" t="n">
        <v>45</v>
      </c>
      <c r="L7" s="26" t="n">
        <v>35</v>
      </c>
      <c r="M7" s="27" t="n">
        <v>-10</v>
      </c>
      <c r="N7" s="27">
        <f>(L7/K7)*100</f>
        <v/>
      </c>
      <c r="O7" s="28" t="inlineStr">
        <is>
          <t>Amarillo</t>
        </is>
      </c>
      <c r="P7" s="0" t="n">
        <v>1</v>
      </c>
    </row>
    <row r="8">
      <c r="A8" s="25" t="inlineStr">
        <is>
          <t>M3.1</t>
        </is>
      </c>
      <c r="B8" s="18" t="inlineStr">
        <is>
          <t>Análisis y Especificación de la Integración</t>
        </is>
      </c>
      <c r="C8" s="18" t="inlineStr">
        <is>
          <t>Tasa de completitud de requerimientos de integración</t>
        </is>
      </c>
      <c r="D8" s="18" t="inlineStr">
        <is>
          <t>Ascendente</t>
        </is>
      </c>
      <c r="E8" s="18" t="inlineStr">
        <is>
          <t>%</t>
        </is>
      </c>
      <c r="F8" s="25" t="n">
        <v>85</v>
      </c>
      <c r="G8" s="25" t="n">
        <v>2026</v>
      </c>
      <c r="H8" s="25" t="inlineStr">
        <is>
          <t>Mayo</t>
        </is>
      </c>
      <c r="I8" s="25" t="n">
        <v>8</v>
      </c>
      <c r="J8" s="25" t="n">
        <v>20</v>
      </c>
      <c r="K8" s="25" t="n">
        <v>55</v>
      </c>
      <c r="L8" s="25" t="n">
        <v>40</v>
      </c>
      <c r="M8" s="41" t="n">
        <v>-15</v>
      </c>
      <c r="N8" s="27">
        <f>(L8/K8)*100</f>
        <v/>
      </c>
      <c r="O8" s="42" t="inlineStr">
        <is>
          <t>Rojo</t>
        </is>
      </c>
      <c r="P8" s="0" t="n">
        <v>1</v>
      </c>
    </row>
    <row r="9">
      <c r="A9" s="26" t="inlineStr">
        <is>
          <t>M3.1</t>
        </is>
      </c>
      <c r="B9" s="14" t="inlineStr">
        <is>
          <t>Análisis y Especificación de la Integración</t>
        </is>
      </c>
      <c r="C9" s="14" t="inlineStr">
        <is>
          <t>Tasa de completitud de requerimientos de integración</t>
        </is>
      </c>
      <c r="D9" s="18" t="inlineStr">
        <is>
          <t>Ascendente</t>
        </is>
      </c>
      <c r="E9" s="18" t="inlineStr">
        <is>
          <t>%</t>
        </is>
      </c>
      <c r="F9" s="26" t="n">
        <v>85</v>
      </c>
      <c r="G9" s="26" t="n">
        <v>2026</v>
      </c>
      <c r="H9" s="26" t="inlineStr">
        <is>
          <t>Junio</t>
        </is>
      </c>
      <c r="I9" s="26" t="n">
        <v>12</v>
      </c>
      <c r="J9" s="26" t="n">
        <v>25</v>
      </c>
      <c r="K9" s="26" t="n">
        <v>65</v>
      </c>
      <c r="L9" s="26" t="n">
        <v>48</v>
      </c>
      <c r="M9" s="27" t="n">
        <v>-17</v>
      </c>
      <c r="N9" s="27">
        <f>(L9/K9)*100</f>
        <v/>
      </c>
      <c r="O9" s="42" t="inlineStr">
        <is>
          <t>Rojo</t>
        </is>
      </c>
      <c r="P9" s="0" t="n">
        <v>1</v>
      </c>
    </row>
    <row r="10">
      <c r="A10" s="25" t="inlineStr">
        <is>
          <t>M3.1</t>
        </is>
      </c>
      <c r="B10" s="18" t="inlineStr">
        <is>
          <t>Análisis y Especificación de la Integración</t>
        </is>
      </c>
      <c r="C10" s="18" t="inlineStr">
        <is>
          <t>Tasa de completitud de requerimientos de integración</t>
        </is>
      </c>
      <c r="D10" s="18" t="inlineStr">
        <is>
          <t>Ascendente</t>
        </is>
      </c>
      <c r="E10" s="18" t="inlineStr">
        <is>
          <t>%</t>
        </is>
      </c>
      <c r="F10" s="25" t="n">
        <v>85</v>
      </c>
      <c r="G10" s="25" t="n">
        <v>2026</v>
      </c>
      <c r="H10" s="38" t="inlineStr">
        <is>
          <t>Julio</t>
        </is>
      </c>
      <c r="I10" s="25" t="n">
        <v>17</v>
      </c>
      <c r="J10" s="25" t="n">
        <v>25</v>
      </c>
      <c r="K10" s="25" t="n">
        <v>75</v>
      </c>
      <c r="L10" s="25" t="n">
        <v>68</v>
      </c>
      <c r="M10" s="41" t="n">
        <v>-7</v>
      </c>
      <c r="N10" s="27">
        <f>(L10/K10)*100</f>
        <v/>
      </c>
      <c r="O10" s="28" t="inlineStr">
        <is>
          <t>Amarillo</t>
        </is>
      </c>
      <c r="P10" s="0" t="n">
        <v>1</v>
      </c>
    </row>
    <row r="11">
      <c r="A11" s="26" t="inlineStr">
        <is>
          <t>M3.1</t>
        </is>
      </c>
      <c r="B11" s="14" t="inlineStr">
        <is>
          <t>Análisis y Especificación de la Integración</t>
        </is>
      </c>
      <c r="C11" s="14" t="inlineStr">
        <is>
          <t>Tasa de completitud de requerimientos de integración</t>
        </is>
      </c>
      <c r="D11" s="18" t="inlineStr">
        <is>
          <t>Ascendente</t>
        </is>
      </c>
      <c r="E11" s="18" t="inlineStr">
        <is>
          <t>%</t>
        </is>
      </c>
      <c r="F11" s="26" t="n">
        <v>85</v>
      </c>
      <c r="G11" s="26" t="n">
        <v>2026</v>
      </c>
      <c r="H11" s="38" t="inlineStr">
        <is>
          <t>Agosto</t>
        </is>
      </c>
      <c r="I11" s="26" t="n">
        <v>20</v>
      </c>
      <c r="J11" s="26" t="n">
        <v>23</v>
      </c>
      <c r="K11" s="26" t="n">
        <v>85</v>
      </c>
      <c r="L11" s="26" t="n">
        <v>87</v>
      </c>
      <c r="M11" s="27" t="n">
        <v>2</v>
      </c>
      <c r="N11" s="27">
        <f>(L11/K11)*100</f>
        <v/>
      </c>
      <c r="O11" s="12" t="inlineStr">
        <is>
          <t>Verde</t>
        </is>
      </c>
      <c r="P11" s="0" t="n">
        <v>1</v>
      </c>
    </row>
    <row r="12">
      <c r="A12" s="25" t="inlineStr">
        <is>
          <t>M3.2</t>
        </is>
      </c>
      <c r="B12" s="18" t="inlineStr">
        <is>
          <t>Desarrollo y Configuración del Middleware/API</t>
        </is>
      </c>
      <c r="C12" s="18" t="inlineStr">
        <is>
          <t>Tasa de APIs desarrolladas a tiempo</t>
        </is>
      </c>
      <c r="D12" s="18" t="inlineStr">
        <is>
          <t>Ascendente</t>
        </is>
      </c>
      <c r="E12" s="18" t="inlineStr">
        <is>
          <t>%</t>
        </is>
      </c>
      <c r="F12" s="25" t="n">
        <v>85</v>
      </c>
      <c r="G12" s="25" t="n">
        <v>2026</v>
      </c>
      <c r="H12" s="25" t="inlineStr">
        <is>
          <t>Enero</t>
        </is>
      </c>
      <c r="I12" s="25" t="n">
        <v>7</v>
      </c>
      <c r="J12" s="25" t="n">
        <v>12</v>
      </c>
      <c r="K12" s="25" t="n">
        <v>30</v>
      </c>
      <c r="L12" s="25" t="n">
        <v>58</v>
      </c>
      <c r="M12" s="41" t="n">
        <v>28</v>
      </c>
      <c r="N12" s="27">
        <f>(L12/K12)*100</f>
        <v/>
      </c>
      <c r="O12" s="12" t="inlineStr">
        <is>
          <t>Verde</t>
        </is>
      </c>
      <c r="P12" s="0" t="n">
        <v>2</v>
      </c>
    </row>
    <row r="13">
      <c r="A13" s="26" t="inlineStr">
        <is>
          <t>M3.2</t>
        </is>
      </c>
      <c r="B13" s="14" t="inlineStr">
        <is>
          <t>Desarrollo y Configuración del Middleware/API</t>
        </is>
      </c>
      <c r="C13" s="14" t="inlineStr">
        <is>
          <t>Tasa de APIs desarrolladas a tiempo</t>
        </is>
      </c>
      <c r="D13" s="18" t="inlineStr">
        <is>
          <t>Ascendente</t>
        </is>
      </c>
      <c r="E13" s="18" t="inlineStr">
        <is>
          <t>%</t>
        </is>
      </c>
      <c r="F13" s="26" t="n">
        <v>85</v>
      </c>
      <c r="G13" s="26" t="n">
        <v>2026</v>
      </c>
      <c r="H13" s="26" t="inlineStr">
        <is>
          <t>Febrero</t>
        </is>
      </c>
      <c r="I13" s="26" t="n">
        <v>10</v>
      </c>
      <c r="J13" s="26" t="n">
        <v>15</v>
      </c>
      <c r="K13" s="26" t="n">
        <v>40</v>
      </c>
      <c r="L13" s="26" t="n">
        <v>67</v>
      </c>
      <c r="M13" s="27" t="n">
        <v>27</v>
      </c>
      <c r="N13" s="27">
        <f>(L13/K13)*100</f>
        <v/>
      </c>
      <c r="O13" s="12" t="inlineStr">
        <is>
          <t>Verde</t>
        </is>
      </c>
      <c r="P13" s="0" t="n">
        <v>2</v>
      </c>
    </row>
    <row r="14">
      <c r="A14" s="25" t="inlineStr">
        <is>
          <t>M3.2</t>
        </is>
      </c>
      <c r="B14" s="18" t="inlineStr">
        <is>
          <t>Desarrollo y Configuración del Middleware/API</t>
        </is>
      </c>
      <c r="C14" s="18" t="inlineStr">
        <is>
          <t>Tasa de APIs desarrolladas a tiempo</t>
        </is>
      </c>
      <c r="D14" s="18" t="inlineStr">
        <is>
          <t>Ascendente</t>
        </is>
      </c>
      <c r="E14" s="18" t="inlineStr">
        <is>
          <t>%</t>
        </is>
      </c>
      <c r="F14" s="25" t="n">
        <v>85</v>
      </c>
      <c r="G14" s="25" t="n">
        <v>2026</v>
      </c>
      <c r="H14" s="25" t="inlineStr">
        <is>
          <t>Marzo</t>
        </is>
      </c>
      <c r="I14" s="25" t="n">
        <v>11</v>
      </c>
      <c r="J14" s="25" t="n">
        <v>14</v>
      </c>
      <c r="K14" s="25" t="n">
        <v>55</v>
      </c>
      <c r="L14" s="25" t="n">
        <v>79</v>
      </c>
      <c r="M14" s="41" t="n">
        <v>24</v>
      </c>
      <c r="N14" s="27">
        <f>(L14/K14)*100</f>
        <v/>
      </c>
      <c r="O14" s="12" t="inlineStr">
        <is>
          <t>Verde</t>
        </is>
      </c>
      <c r="P14" s="0" t="n">
        <v>2</v>
      </c>
    </row>
    <row r="15">
      <c r="A15" s="26" t="inlineStr">
        <is>
          <t>M3.2</t>
        </is>
      </c>
      <c r="B15" s="14" t="inlineStr">
        <is>
          <t>Desarrollo y Configuración del Middleware/API</t>
        </is>
      </c>
      <c r="C15" s="14" t="inlineStr">
        <is>
          <t>Tasa de APIs desarrolladas a tiempo</t>
        </is>
      </c>
      <c r="D15" s="18" t="inlineStr">
        <is>
          <t>Ascendente</t>
        </is>
      </c>
      <c r="E15" s="18" t="inlineStr">
        <is>
          <t>%</t>
        </is>
      </c>
      <c r="F15" s="26" t="n">
        <v>85</v>
      </c>
      <c r="G15" s="26" t="n">
        <v>2026</v>
      </c>
      <c r="H15" s="26" t="inlineStr">
        <is>
          <t>Abril</t>
        </is>
      </c>
      <c r="I15" s="26" t="n">
        <v>13</v>
      </c>
      <c r="J15" s="26" t="n">
        <v>16</v>
      </c>
      <c r="K15" s="26" t="n">
        <v>65</v>
      </c>
      <c r="L15" s="26" t="n">
        <v>81</v>
      </c>
      <c r="M15" s="27" t="n">
        <v>16</v>
      </c>
      <c r="N15" s="27">
        <f>(L15/K15)*100</f>
        <v/>
      </c>
      <c r="O15" s="12" t="inlineStr">
        <is>
          <t>Verde</t>
        </is>
      </c>
      <c r="P15" s="0" t="n">
        <v>2</v>
      </c>
    </row>
    <row r="16">
      <c r="A16" s="25" t="inlineStr">
        <is>
          <t>M3.2</t>
        </is>
      </c>
      <c r="B16" s="18" t="inlineStr">
        <is>
          <t>Desarrollo y Configuración del Middleware/API</t>
        </is>
      </c>
      <c r="C16" s="18" t="inlineStr">
        <is>
          <t>Tasa de APIs desarrolladas a tiempo</t>
        </is>
      </c>
      <c r="D16" s="18" t="inlineStr">
        <is>
          <t>Ascendente</t>
        </is>
      </c>
      <c r="E16" s="18" t="inlineStr">
        <is>
          <t>%</t>
        </is>
      </c>
      <c r="F16" s="25" t="n">
        <v>85</v>
      </c>
      <c r="G16" s="25" t="n">
        <v>2026</v>
      </c>
      <c r="H16" s="25" t="inlineStr">
        <is>
          <t>Mayo</t>
        </is>
      </c>
      <c r="I16" s="25" t="n">
        <v>16</v>
      </c>
      <c r="J16" s="25" t="n">
        <v>18</v>
      </c>
      <c r="K16" s="25" t="n">
        <v>75</v>
      </c>
      <c r="L16" s="25" t="n">
        <v>89</v>
      </c>
      <c r="M16" s="41" t="n">
        <v>14</v>
      </c>
      <c r="N16" s="27">
        <f>(L16/K16)*100</f>
        <v/>
      </c>
      <c r="O16" s="12" t="inlineStr">
        <is>
          <t>Verde</t>
        </is>
      </c>
      <c r="P16" s="0" t="n">
        <v>2</v>
      </c>
    </row>
    <row r="17">
      <c r="A17" s="26" t="inlineStr">
        <is>
          <t>M3.2</t>
        </is>
      </c>
      <c r="B17" s="14" t="inlineStr">
        <is>
          <t>Desarrollo y Configuración del Middleware/API</t>
        </is>
      </c>
      <c r="C17" s="14" t="inlineStr">
        <is>
          <t>Tasa de APIs desarrolladas a tiempo</t>
        </is>
      </c>
      <c r="D17" s="18" t="inlineStr">
        <is>
          <t>Ascendente</t>
        </is>
      </c>
      <c r="E17" s="18" t="inlineStr">
        <is>
          <t>%</t>
        </is>
      </c>
      <c r="F17" s="26" t="n">
        <v>85</v>
      </c>
      <c r="G17" s="26" t="n">
        <v>2026</v>
      </c>
      <c r="H17" s="26" t="inlineStr">
        <is>
          <t>Junio</t>
        </is>
      </c>
      <c r="I17" s="26" t="n">
        <v>19</v>
      </c>
      <c r="J17" s="26" t="n">
        <v>20</v>
      </c>
      <c r="K17" s="26" t="n">
        <v>85</v>
      </c>
      <c r="L17" s="26" t="n">
        <v>95</v>
      </c>
      <c r="M17" s="27" t="n">
        <v>10</v>
      </c>
      <c r="N17" s="27">
        <f>(L17/K17)*100</f>
        <v/>
      </c>
      <c r="O17" s="12" t="inlineStr">
        <is>
          <t>Verde</t>
        </is>
      </c>
      <c r="P17" s="0" t="n">
        <v>2</v>
      </c>
    </row>
    <row r="18">
      <c r="A18" s="25" t="inlineStr">
        <is>
          <t>M3.2</t>
        </is>
      </c>
      <c r="B18" s="18" t="inlineStr">
        <is>
          <t>Desarrollo y Configuración del Middleware/API</t>
        </is>
      </c>
      <c r="C18" s="18" t="inlineStr">
        <is>
          <t>Tasa de APIs desarrolladas a tiempo</t>
        </is>
      </c>
      <c r="D18" s="18" t="inlineStr">
        <is>
          <t>Ascendente</t>
        </is>
      </c>
      <c r="E18" s="18" t="inlineStr">
        <is>
          <t>%</t>
        </is>
      </c>
      <c r="F18" s="25" t="n">
        <v>85</v>
      </c>
      <c r="G18" s="25" t="n">
        <v>2026</v>
      </c>
      <c r="H18" s="38" t="inlineStr">
        <is>
          <t>Julio</t>
        </is>
      </c>
      <c r="I18" s="25" t="n">
        <v>21</v>
      </c>
      <c r="J18" s="25" t="n">
        <v>24</v>
      </c>
      <c r="K18" s="25" t="n">
        <v>85</v>
      </c>
      <c r="L18" s="25" t="n">
        <v>88</v>
      </c>
      <c r="M18" s="41" t="n">
        <v>3</v>
      </c>
      <c r="N18" s="27">
        <f>(L18/K18)*100</f>
        <v/>
      </c>
      <c r="O18" s="12" t="inlineStr">
        <is>
          <t>Verde</t>
        </is>
      </c>
      <c r="P18" s="0" t="n">
        <v>2</v>
      </c>
    </row>
    <row r="19">
      <c r="A19" s="26" t="inlineStr">
        <is>
          <t>M3.2</t>
        </is>
      </c>
      <c r="B19" s="14" t="inlineStr">
        <is>
          <t>Desarrollo y Configuración del Middleware/API</t>
        </is>
      </c>
      <c r="C19" s="14" t="inlineStr">
        <is>
          <t>Tasa de APIs desarrolladas a tiempo</t>
        </is>
      </c>
      <c r="D19" s="18" t="inlineStr">
        <is>
          <t>Ascendente</t>
        </is>
      </c>
      <c r="E19" s="18" t="inlineStr">
        <is>
          <t>%</t>
        </is>
      </c>
      <c r="F19" s="26" t="n">
        <v>85</v>
      </c>
      <c r="G19" s="26" t="n">
        <v>2026</v>
      </c>
      <c r="H19" s="38" t="inlineStr">
        <is>
          <t>Agosto</t>
        </is>
      </c>
      <c r="I19" s="26" t="n">
        <v>23</v>
      </c>
      <c r="J19" s="26" t="n">
        <v>25</v>
      </c>
      <c r="K19" s="26" t="n">
        <v>85</v>
      </c>
      <c r="L19" s="26" t="n">
        <v>92</v>
      </c>
      <c r="M19" s="27" t="n">
        <v>7</v>
      </c>
      <c r="N19" s="27">
        <f>(L19/K19)*100</f>
        <v/>
      </c>
      <c r="O19" s="12" t="inlineStr">
        <is>
          <t>Verde</t>
        </is>
      </c>
      <c r="P19" s="0" t="n">
        <v>2</v>
      </c>
    </row>
    <row r="20">
      <c r="A20" s="25" t="inlineStr">
        <is>
          <t>M3.3</t>
        </is>
      </c>
      <c r="B20" s="18" t="inlineStr">
        <is>
          <t>Pruebas y Aseguramiento de Interoperabilidad</t>
        </is>
      </c>
      <c r="C20" s="18" t="inlineStr">
        <is>
          <t>Porcentaje de pruebas de integración exitosas</t>
        </is>
      </c>
      <c r="D20" s="18" t="inlineStr">
        <is>
          <t>Ascendente</t>
        </is>
      </c>
      <c r="E20" s="18" t="inlineStr">
        <is>
          <t>%</t>
        </is>
      </c>
      <c r="F20" s="25" t="n">
        <v>90</v>
      </c>
      <c r="G20" s="25" t="n">
        <v>2026</v>
      </c>
      <c r="H20" s="25" t="inlineStr">
        <is>
          <t>Enero</t>
        </is>
      </c>
      <c r="I20" s="25" t="n">
        <v>19</v>
      </c>
      <c r="J20" s="25" t="n">
        <v>50</v>
      </c>
      <c r="K20" s="25" t="n">
        <v>20</v>
      </c>
      <c r="L20" s="25" t="n">
        <v>38</v>
      </c>
      <c r="M20" s="41" t="n">
        <v>18</v>
      </c>
      <c r="N20" s="27">
        <f>(L20/K20)*100</f>
        <v/>
      </c>
      <c r="O20" s="12" t="inlineStr">
        <is>
          <t>Verde</t>
        </is>
      </c>
      <c r="P20" t="n">
        <v>3</v>
      </c>
    </row>
    <row r="21">
      <c r="A21" s="26" t="inlineStr">
        <is>
          <t>M3.3</t>
        </is>
      </c>
      <c r="B21" s="14" t="inlineStr">
        <is>
          <t>Pruebas y Aseguramiento de Interoperabilidad</t>
        </is>
      </c>
      <c r="C21" s="14" t="inlineStr">
        <is>
          <t>Porcentaje de pruebas de integración exitosas</t>
        </is>
      </c>
      <c r="D21" s="18" t="inlineStr">
        <is>
          <t>Ascendente</t>
        </is>
      </c>
      <c r="E21" s="18" t="inlineStr">
        <is>
          <t>%</t>
        </is>
      </c>
      <c r="F21" s="26" t="n">
        <v>90</v>
      </c>
      <c r="G21" s="26" t="n">
        <v>2026</v>
      </c>
      <c r="H21" s="26" t="inlineStr">
        <is>
          <t>Febrero</t>
        </is>
      </c>
      <c r="I21" s="26" t="n">
        <v>21</v>
      </c>
      <c r="J21" s="26" t="n">
        <v>50</v>
      </c>
      <c r="K21" s="26" t="n">
        <v>30</v>
      </c>
      <c r="L21" s="26" t="n">
        <v>42</v>
      </c>
      <c r="M21" s="27" t="n">
        <v>12</v>
      </c>
      <c r="N21" s="27">
        <f>(L21/K21)*100</f>
        <v/>
      </c>
      <c r="O21" s="12" t="inlineStr">
        <is>
          <t>Verde</t>
        </is>
      </c>
      <c r="P21" t="n">
        <v>3</v>
      </c>
    </row>
    <row r="22">
      <c r="A22" s="25" t="inlineStr">
        <is>
          <t>M3.3</t>
        </is>
      </c>
      <c r="B22" s="18" t="inlineStr">
        <is>
          <t>Pruebas y Aseguramiento de Interoperabilidad</t>
        </is>
      </c>
      <c r="C22" s="18" t="inlineStr">
        <is>
          <t>Porcentaje de pruebas de integración exitosas</t>
        </is>
      </c>
      <c r="D22" s="18" t="inlineStr">
        <is>
          <t>Ascendente</t>
        </is>
      </c>
      <c r="E22" s="18" t="inlineStr">
        <is>
          <t>%</t>
        </is>
      </c>
      <c r="F22" s="25" t="n">
        <v>90</v>
      </c>
      <c r="G22" s="25" t="n">
        <v>2026</v>
      </c>
      <c r="H22" s="25" t="inlineStr">
        <is>
          <t>Marzo</t>
        </is>
      </c>
      <c r="I22" s="25" t="n">
        <v>22</v>
      </c>
      <c r="J22" s="25" t="n">
        <v>49</v>
      </c>
      <c r="K22" s="25" t="n">
        <v>40</v>
      </c>
      <c r="L22" s="25" t="n">
        <v>45</v>
      </c>
      <c r="M22" s="41" t="n">
        <v>5</v>
      </c>
      <c r="N22" s="27">
        <f>(L22/K22)*100</f>
        <v/>
      </c>
      <c r="O22" s="12" t="inlineStr">
        <is>
          <t>Verde</t>
        </is>
      </c>
      <c r="P22" t="n">
        <v>3</v>
      </c>
    </row>
    <row r="23">
      <c r="A23" s="26" t="inlineStr">
        <is>
          <t>M3.3</t>
        </is>
      </c>
      <c r="B23" s="14" t="inlineStr">
        <is>
          <t>Pruebas y Aseguramiento de Interoperabilidad</t>
        </is>
      </c>
      <c r="C23" s="14" t="inlineStr">
        <is>
          <t>Porcentaje de pruebas de integración exitosas</t>
        </is>
      </c>
      <c r="D23" s="18" t="inlineStr">
        <is>
          <t>Ascendente</t>
        </is>
      </c>
      <c r="E23" s="18" t="inlineStr">
        <is>
          <t>%</t>
        </is>
      </c>
      <c r="F23" s="26" t="n">
        <v>90</v>
      </c>
      <c r="G23" s="26" t="n">
        <v>2026</v>
      </c>
      <c r="H23" s="26" t="inlineStr">
        <is>
          <t>Abril</t>
        </is>
      </c>
      <c r="I23" s="26" t="n">
        <v>24</v>
      </c>
      <c r="J23" s="26" t="n">
        <v>50</v>
      </c>
      <c r="K23" s="26" t="n">
        <v>50</v>
      </c>
      <c r="L23" s="26" t="n">
        <v>48</v>
      </c>
      <c r="M23" s="27" t="n">
        <v>-2</v>
      </c>
      <c r="N23" s="27">
        <f>(L23/K23)*100</f>
        <v/>
      </c>
      <c r="O23" s="12" t="inlineStr">
        <is>
          <t>Verde</t>
        </is>
      </c>
      <c r="P23" t="n">
        <v>3</v>
      </c>
    </row>
    <row r="24">
      <c r="A24" s="25" t="inlineStr">
        <is>
          <t>M3.3</t>
        </is>
      </c>
      <c r="B24" s="18" t="inlineStr">
        <is>
          <t>Pruebas y Aseguramiento de Interoperabilidad</t>
        </is>
      </c>
      <c r="C24" s="18" t="inlineStr">
        <is>
          <t>Porcentaje de pruebas de integración exitosas</t>
        </is>
      </c>
      <c r="D24" s="18" t="inlineStr">
        <is>
          <t>Ascendente</t>
        </is>
      </c>
      <c r="E24" s="18" t="inlineStr">
        <is>
          <t>%</t>
        </is>
      </c>
      <c r="F24" s="25" t="n">
        <v>90</v>
      </c>
      <c r="G24" s="25" t="n">
        <v>2026</v>
      </c>
      <c r="H24" s="25" t="inlineStr">
        <is>
          <t>Mayo</t>
        </is>
      </c>
      <c r="I24" s="25" t="n">
        <v>30</v>
      </c>
      <c r="J24" s="25" t="n">
        <v>55</v>
      </c>
      <c r="K24" s="25" t="n">
        <v>60</v>
      </c>
      <c r="L24" s="25" t="n">
        <v>55</v>
      </c>
      <c r="M24" s="41" t="n">
        <v>-5</v>
      </c>
      <c r="N24" s="27">
        <f>(L24/K24)*100</f>
        <v/>
      </c>
      <c r="O24" s="28" t="inlineStr">
        <is>
          <t>Amarillo</t>
        </is>
      </c>
      <c r="P24" t="n">
        <v>3</v>
      </c>
    </row>
    <row r="25">
      <c r="A25" s="26" t="inlineStr">
        <is>
          <t>M3.3</t>
        </is>
      </c>
      <c r="B25" s="14" t="inlineStr">
        <is>
          <t>Pruebas y Aseguramiento de Interoperabilidad</t>
        </is>
      </c>
      <c r="C25" s="14" t="inlineStr">
        <is>
          <t>Porcentaje de pruebas de integración exitosas</t>
        </is>
      </c>
      <c r="D25" s="18" t="inlineStr">
        <is>
          <t>Ascendente</t>
        </is>
      </c>
      <c r="E25" s="18" t="inlineStr">
        <is>
          <t>%</t>
        </is>
      </c>
      <c r="F25" s="26" t="n">
        <v>90</v>
      </c>
      <c r="G25" s="26" t="n">
        <v>2026</v>
      </c>
      <c r="H25" s="26" t="inlineStr">
        <is>
          <t>Junio</t>
        </is>
      </c>
      <c r="I25" s="26" t="n">
        <v>39</v>
      </c>
      <c r="J25" s="26" t="n">
        <v>63</v>
      </c>
      <c r="K25" s="26" t="n">
        <v>75</v>
      </c>
      <c r="L25" s="26" t="n">
        <v>62</v>
      </c>
      <c r="M25" s="27" t="n">
        <v>-13</v>
      </c>
      <c r="N25" s="27">
        <f>(L25/K25)*100</f>
        <v/>
      </c>
      <c r="O25" s="28" t="inlineStr">
        <is>
          <t>Amarillo</t>
        </is>
      </c>
      <c r="P25" t="n">
        <v>3</v>
      </c>
    </row>
    <row r="26">
      <c r="A26" s="25" t="inlineStr">
        <is>
          <t>M3.3</t>
        </is>
      </c>
      <c r="B26" s="18" t="inlineStr">
        <is>
          <t>Pruebas y Aseguramiento de Interoperabilidad</t>
        </is>
      </c>
      <c r="C26" s="18" t="inlineStr">
        <is>
          <t>Porcentaje de pruebas de integración exitosas</t>
        </is>
      </c>
      <c r="D26" s="18" t="inlineStr">
        <is>
          <t>Ascendente</t>
        </is>
      </c>
      <c r="E26" s="18" t="inlineStr">
        <is>
          <t>%</t>
        </is>
      </c>
      <c r="F26" s="25" t="n">
        <v>90</v>
      </c>
      <c r="G26" s="25" t="n">
        <v>2026</v>
      </c>
      <c r="H26" s="38" t="inlineStr">
        <is>
          <t>Julio</t>
        </is>
      </c>
      <c r="I26" s="25" t="n">
        <v>47</v>
      </c>
      <c r="J26" s="25" t="n">
        <v>60</v>
      </c>
      <c r="K26" s="25" t="n">
        <v>85</v>
      </c>
      <c r="L26" s="25" t="n">
        <v>78</v>
      </c>
      <c r="M26" s="41" t="n">
        <v>-7</v>
      </c>
      <c r="N26" s="27">
        <f>(L26/K26)*100</f>
        <v/>
      </c>
      <c r="O26" s="28" t="inlineStr">
        <is>
          <t>Amarillo</t>
        </is>
      </c>
      <c r="P26" t="n">
        <v>3</v>
      </c>
    </row>
    <row r="27">
      <c r="A27" s="26" t="inlineStr">
        <is>
          <t>M3.3</t>
        </is>
      </c>
      <c r="B27" s="14" t="inlineStr">
        <is>
          <t>Pruebas y Aseguramiento de Interoperabilidad</t>
        </is>
      </c>
      <c r="C27" s="14" t="inlineStr">
        <is>
          <t>Porcentaje de pruebas de integración exitosas</t>
        </is>
      </c>
      <c r="D27" s="18" t="inlineStr">
        <is>
          <t>Ascendente</t>
        </is>
      </c>
      <c r="E27" s="18" t="inlineStr">
        <is>
          <t>%</t>
        </is>
      </c>
      <c r="F27" s="26" t="n">
        <v>90</v>
      </c>
      <c r="G27" s="26" t="n">
        <v>2026</v>
      </c>
      <c r="H27" s="38" t="inlineStr">
        <is>
          <t>Agosto</t>
        </is>
      </c>
      <c r="I27" s="26" t="n">
        <v>55</v>
      </c>
      <c r="J27" s="26" t="n">
        <v>60</v>
      </c>
      <c r="K27" s="26" t="n">
        <v>90</v>
      </c>
      <c r="L27" s="26" t="n">
        <v>92</v>
      </c>
      <c r="M27" s="27" t="n">
        <v>2</v>
      </c>
      <c r="N27" s="27">
        <f>(L27/K27)*100</f>
        <v/>
      </c>
      <c r="O27" s="12" t="inlineStr">
        <is>
          <t>Verde</t>
        </is>
      </c>
      <c r="P27" t="n">
        <v>3</v>
      </c>
    </row>
    <row r="28">
      <c r="A28" s="39" t="n"/>
      <c r="B28" s="39" t="n"/>
      <c r="C28" s="39" t="n"/>
      <c r="D28" s="39" t="n"/>
      <c r="E28" s="39" t="n"/>
      <c r="F28" s="39" t="n"/>
      <c r="G28" s="39" t="n"/>
      <c r="H28" s="39" t="n"/>
      <c r="I28" s="39" t="n"/>
      <c r="J28" s="39" t="n"/>
      <c r="K28" s="39" t="n"/>
      <c r="L28" s="39" t="n"/>
      <c r="M28" s="39" t="n"/>
      <c r="N28" s="39" t="n"/>
      <c r="O28" s="39" t="n"/>
    </row>
    <row r="29">
      <c r="A29" s="48" t="inlineStr">
        <is>
          <t>FÓRMULAS APLICADAS</t>
        </is>
      </c>
      <c r="B29" s="46" t="n"/>
      <c r="C29" s="46" t="n"/>
      <c r="D29" s="46" t="n"/>
      <c r="E29" s="46" t="n"/>
      <c r="F29" s="46" t="n"/>
      <c r="G29" s="46" t="n"/>
      <c r="H29" s="46" t="n"/>
      <c r="I29" s="46" t="n"/>
      <c r="J29" s="46" t="n"/>
      <c r="K29" s="46" t="n"/>
      <c r="L29" s="46" t="n"/>
      <c r="M29" s="46" t="n"/>
      <c r="N29" s="46" t="n"/>
      <c r="O29" s="46" t="n"/>
    </row>
    <row r="30">
      <c r="A30" s="30" t="inlineStr">
        <is>
          <t>PORCENTAJE</t>
        </is>
      </c>
      <c r="B30" s="21" t="inlineStr">
        <is>
          <t>(NUMERADOR / DENOMINADOR) × 100</t>
        </is>
      </c>
      <c r="C30" s="46" t="n"/>
      <c r="D30" s="46" t="n"/>
      <c r="E30" s="46" t="n"/>
      <c r="F30" s="46" t="n"/>
      <c r="G30" s="46" t="n"/>
      <c r="H30" s="46" t="n"/>
      <c r="I30" s="46" t="n"/>
      <c r="J30" s="46" t="n"/>
      <c r="K30" s="46" t="n"/>
      <c r="L30" s="46" t="n"/>
      <c r="M30" s="46" t="n"/>
      <c r="N30" s="46" t="n"/>
      <c r="O30" s="46" t="n"/>
    </row>
    <row r="31">
      <c r="A31" s="30" t="inlineStr">
        <is>
          <t>AVANCE_T1</t>
        </is>
      </c>
      <c r="B31" s="21" t="inlineStr">
        <is>
          <t>min((RESULTADO_OBTENIDO / RESULTADO_ESPERADO) × 100 , 100)  — Directiva CEPLAN, indicador ascendente</t>
        </is>
      </c>
      <c r="C31" s="46" t="n"/>
      <c r="D31" s="46" t="n"/>
      <c r="E31" s="46" t="n"/>
      <c r="F31" s="46" t="n"/>
      <c r="G31" s="46" t="n"/>
      <c r="H31" s="46" t="n"/>
      <c r="I31" s="46" t="n"/>
      <c r="J31" s="46" t="n"/>
      <c r="K31" s="46" t="n"/>
      <c r="L31" s="46" t="n"/>
      <c r="M31" s="46" t="n"/>
      <c r="N31" s="46" t="n"/>
      <c r="O31" s="46" t="n"/>
    </row>
    <row r="32">
      <c r="A32" s="30" t="inlineStr">
        <is>
          <t>SEMAFORO_CEPLAN</t>
        </is>
      </c>
      <c r="B32" s="21" t="inlineStr">
        <is>
          <t>Verde ≥ 95  |  Amarillo ≥ 75 y &lt; 95  |  Rojo &lt; 75  — Resolución N° 0056-2024-Ceplan/PCD</t>
        </is>
      </c>
      <c r="C32" s="46" t="n"/>
      <c r="D32" s="46" t="n"/>
      <c r="E32" s="46" t="n"/>
      <c r="F32" s="46" t="n"/>
      <c r="G32" s="46" t="n"/>
      <c r="H32" s="46" t="n"/>
      <c r="I32" s="46" t="n"/>
      <c r="J32" s="46" t="n"/>
      <c r="K32" s="46" t="n"/>
      <c r="L32" s="46" t="n"/>
      <c r="M32" s="46" t="n"/>
      <c r="N32" s="46" t="n"/>
      <c r="O32" s="46" t="n"/>
    </row>
    <row r="33">
      <c r="A33" s="30" t="inlineStr">
        <is>
          <t>Meses en azul</t>
        </is>
      </c>
      <c r="B33" s="21" t="inlineStr">
        <is>
          <t>Julio y Agosto = datos de proyección tras acción de mejora</t>
        </is>
      </c>
      <c r="C33" s="46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</row>
  </sheetData>
  <mergeCells count="7">
    <mergeCell ref="A29:O29"/>
    <mergeCell ref="A2:O2"/>
    <mergeCell ref="B30:O30"/>
    <mergeCell ref="B33:O33"/>
    <mergeCell ref="A1:O1"/>
    <mergeCell ref="B31:O31"/>
    <mergeCell ref="B32:O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P78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44" min="1" max="1"/>
    <col width="34.63" customWidth="1" style="44" min="2" max="2"/>
    <col width="50.88" customWidth="1" style="44" min="3" max="3"/>
    <col width="12.63" customWidth="1" style="44" min="4" max="7"/>
  </cols>
  <sheetData>
    <row r="1" ht="15.75" customHeight="1" s="44">
      <c r="A1" s="45" t="inlineStr">
        <is>
          <t>DATOS ESTANDARIZADOS – M.4 | Orquestación y Ejecución de Servicios Interoperables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6" t="n"/>
      <c r="L1" s="46" t="n"/>
      <c r="M1" s="46" t="n"/>
      <c r="N1" s="46" t="n"/>
      <c r="O1" s="46" t="n"/>
    </row>
    <row r="2" ht="15.75" customHeight="1" s="44">
      <c r="A2" s="47" t="inlineStr">
        <is>
          <t>Semaforización CEPLAN (Resolución N° 0056-2024-Ceplan/PCD):   🟢 Verde [95–100]   |   🟡 Amarillo [75–95&gt;   |   🔴 Rojo [0–75&gt;</t>
        </is>
      </c>
      <c r="B2" s="46" t="n"/>
      <c r="C2" s="46" t="n"/>
      <c r="D2" s="46" t="n"/>
      <c r="E2" s="46" t="n"/>
      <c r="F2" s="46" t="n"/>
      <c r="G2" s="46" t="n"/>
      <c r="H2" s="46" t="n"/>
      <c r="I2" s="46" t="n"/>
      <c r="J2" s="46" t="n"/>
      <c r="K2" s="46" t="n"/>
      <c r="L2" s="46" t="n"/>
      <c r="M2" s="46" t="n"/>
      <c r="N2" s="46" t="n"/>
      <c r="O2" s="46" t="n"/>
    </row>
    <row r="3" ht="15.75" customHeight="1" s="44">
      <c r="A3" s="6" t="inlineStr">
        <is>
          <t>CÓDIGO DE
PROCESO</t>
        </is>
      </c>
      <c r="B3" s="6" t="inlineStr">
        <is>
          <t>PROCESO</t>
        </is>
      </c>
      <c r="C3" s="6" t="inlineStr">
        <is>
          <t>INDICADOR</t>
        </is>
      </c>
      <c r="D3" s="6" t="inlineStr">
        <is>
          <t>Tipo Indicador</t>
        </is>
      </c>
      <c r="E3" s="6" t="inlineStr">
        <is>
          <t>Unidad</t>
        </is>
      </c>
      <c r="F3" s="6" t="inlineStr">
        <is>
          <t>META
FINAL</t>
        </is>
      </c>
      <c r="G3" s="6" t="inlineStr">
        <is>
          <t>AÑO</t>
        </is>
      </c>
      <c r="H3" s="6" t="inlineStr">
        <is>
          <t>MES</t>
        </is>
      </c>
      <c r="I3" s="6" t="inlineStr">
        <is>
          <t>NUMERADOR
(cantidad)</t>
        </is>
      </c>
      <c r="J3" s="6" t="inlineStr">
        <is>
          <t>DENOMINADOR
(cantidad)</t>
        </is>
      </c>
      <c r="K3" s="6" t="inlineStr">
        <is>
          <t>RESULTADO
ESPERADO (%)</t>
        </is>
      </c>
      <c r="L3" s="6" t="inlineStr">
        <is>
          <t>RESULTADO
OBTENIDO (%)</t>
        </is>
      </c>
      <c r="M3" s="6" t="inlineStr">
        <is>
          <t>DIFERENCIA
(pp)</t>
        </is>
      </c>
      <c r="N3" s="6" t="inlineStr">
        <is>
          <t>AVANCE T1
(%)</t>
        </is>
      </c>
      <c r="O3" s="6" t="inlineStr">
        <is>
          <t>SEMÁFORO
CEPLAN</t>
        </is>
      </c>
      <c r="P3" s="0" t="inlineStr">
        <is>
          <t>Relevancia</t>
        </is>
      </c>
    </row>
    <row r="4" ht="15.75" customHeight="1" s="44">
      <c r="A4" s="25" t="inlineStr">
        <is>
          <t>M4.1</t>
        </is>
      </c>
      <c r="B4" s="18" t="inlineStr">
        <is>
          <t>Identificación de necesidades del servicio</t>
        </is>
      </c>
      <c r="C4" s="24" t="inlineStr">
        <is>
          <t>Planificar la orquestación eficiente de servicios interoperables</t>
        </is>
      </c>
      <c r="D4" s="24" t="inlineStr">
        <is>
          <t>Ascendente</t>
        </is>
      </c>
      <c r="E4" s="24" t="inlineStr">
        <is>
          <t>%</t>
        </is>
      </c>
      <c r="F4" s="25" t="n">
        <v>95</v>
      </c>
      <c r="G4" s="25" t="n">
        <v>2026</v>
      </c>
      <c r="H4" s="25" t="inlineStr">
        <is>
          <t>Enero</t>
        </is>
      </c>
      <c r="I4" s="25" t="n">
        <v>1</v>
      </c>
      <c r="J4" s="25" t="n">
        <v>10</v>
      </c>
      <c r="K4" s="25" t="n">
        <v>15</v>
      </c>
      <c r="L4" s="25" t="n">
        <v>10</v>
      </c>
      <c r="M4" s="41" t="n">
        <v>-5</v>
      </c>
      <c r="N4" s="27">
        <f>(L4/K4)*100</f>
        <v/>
      </c>
      <c r="O4" s="42" t="inlineStr">
        <is>
          <t>Rojo</t>
        </is>
      </c>
      <c r="P4" s="0" t="n">
        <v>1</v>
      </c>
    </row>
    <row r="5" ht="15.75" customHeight="1" s="44">
      <c r="A5" s="26" t="inlineStr">
        <is>
          <t>M4.1</t>
        </is>
      </c>
      <c r="B5" s="14" t="inlineStr">
        <is>
          <t>Identificación de necesidades del servicio</t>
        </is>
      </c>
      <c r="C5" s="24" t="inlineStr">
        <is>
          <t>Planificar la orquestación eficiente de servicios interoperables</t>
        </is>
      </c>
      <c r="D5" s="24" t="inlineStr">
        <is>
          <t>Ascendente</t>
        </is>
      </c>
      <c r="E5" s="24" t="inlineStr">
        <is>
          <t>%</t>
        </is>
      </c>
      <c r="F5" s="26" t="n">
        <v>95</v>
      </c>
      <c r="G5" s="26" t="n">
        <v>2026</v>
      </c>
      <c r="H5" s="26" t="inlineStr">
        <is>
          <t>Febrero</t>
        </is>
      </c>
      <c r="I5" s="26" t="n">
        <v>2</v>
      </c>
      <c r="J5" s="26" t="n">
        <v>10</v>
      </c>
      <c r="K5" s="26" t="n">
        <v>30</v>
      </c>
      <c r="L5" s="26" t="n">
        <v>20</v>
      </c>
      <c r="M5" s="27" t="n">
        <v>-10</v>
      </c>
      <c r="N5" s="27">
        <f>(L5/K5)*100</f>
        <v/>
      </c>
      <c r="O5" s="42" t="inlineStr">
        <is>
          <t>Rojo</t>
        </is>
      </c>
      <c r="P5" s="0" t="n">
        <v>1</v>
      </c>
    </row>
    <row r="6" ht="15.75" customHeight="1" s="44">
      <c r="A6" s="25" t="inlineStr">
        <is>
          <t>M4.1</t>
        </is>
      </c>
      <c r="B6" s="18" t="inlineStr">
        <is>
          <t>Identificación de necesidades del servicio</t>
        </is>
      </c>
      <c r="C6" s="24" t="inlineStr">
        <is>
          <t>Planificar la orquestación eficiente de servicios interoperables</t>
        </is>
      </c>
      <c r="D6" s="24" t="inlineStr">
        <is>
          <t>Ascendente</t>
        </is>
      </c>
      <c r="E6" s="24" t="inlineStr">
        <is>
          <t>%</t>
        </is>
      </c>
      <c r="F6" s="25" t="n">
        <v>95</v>
      </c>
      <c r="G6" s="25" t="n">
        <v>2026</v>
      </c>
      <c r="H6" s="25" t="inlineStr">
        <is>
          <t>Marzo</t>
        </is>
      </c>
      <c r="I6" s="25" t="n">
        <v>4</v>
      </c>
      <c r="J6" s="25" t="n">
        <v>11</v>
      </c>
      <c r="K6" s="25" t="n">
        <v>45</v>
      </c>
      <c r="L6" s="25" t="n">
        <v>36</v>
      </c>
      <c r="M6" s="41" t="n">
        <v>-9</v>
      </c>
      <c r="N6" s="27">
        <f>(L6/K6)*100</f>
        <v/>
      </c>
      <c r="O6" s="28" t="inlineStr">
        <is>
          <t>Amarillo</t>
        </is>
      </c>
      <c r="P6" s="0" t="n">
        <v>1</v>
      </c>
    </row>
    <row r="7" ht="15.75" customHeight="1" s="44">
      <c r="A7" s="26" t="inlineStr">
        <is>
          <t>M4.1</t>
        </is>
      </c>
      <c r="B7" s="14" t="inlineStr">
        <is>
          <t>Identificación de necesidades del servicio</t>
        </is>
      </c>
      <c r="C7" s="24" t="inlineStr">
        <is>
          <t>Planificar la orquestación eficiente de servicios interoperables</t>
        </is>
      </c>
      <c r="D7" s="24" t="inlineStr">
        <is>
          <t>Ascendente</t>
        </is>
      </c>
      <c r="E7" s="24" t="inlineStr">
        <is>
          <t>%</t>
        </is>
      </c>
      <c r="F7" s="26" t="n">
        <v>95</v>
      </c>
      <c r="G7" s="26" t="n">
        <v>2026</v>
      </c>
      <c r="H7" s="26" t="inlineStr">
        <is>
          <t>Abril</t>
        </is>
      </c>
      <c r="I7" s="26" t="n">
        <v>4</v>
      </c>
      <c r="J7" s="26" t="n">
        <v>12</v>
      </c>
      <c r="K7" s="26" t="n">
        <v>65</v>
      </c>
      <c r="L7" s="26" t="n">
        <v>50</v>
      </c>
      <c r="M7" s="27" t="n">
        <v>-15</v>
      </c>
      <c r="N7" s="27">
        <f>(L7/K7)*100</f>
        <v/>
      </c>
      <c r="O7" s="28" t="inlineStr">
        <is>
          <t>Amarillo</t>
        </is>
      </c>
      <c r="P7" s="0" t="n">
        <v>1</v>
      </c>
    </row>
    <row r="8" ht="15.75" customHeight="1" s="44">
      <c r="A8" s="25" t="inlineStr">
        <is>
          <t>M4.1</t>
        </is>
      </c>
      <c r="B8" s="18" t="inlineStr">
        <is>
          <t>Identificación de necesidades del servicio</t>
        </is>
      </c>
      <c r="C8" s="24" t="inlineStr">
        <is>
          <t>Planificar la orquestación eficiente de servicios interoperables</t>
        </is>
      </c>
      <c r="D8" s="24" t="inlineStr">
        <is>
          <t>Ascendente</t>
        </is>
      </c>
      <c r="E8" s="24" t="inlineStr">
        <is>
          <t>%</t>
        </is>
      </c>
      <c r="F8" s="25" t="n">
        <v>95</v>
      </c>
      <c r="G8" s="25" t="n">
        <v>2026</v>
      </c>
      <c r="H8" s="25" t="inlineStr">
        <is>
          <t>Mayo</t>
        </is>
      </c>
      <c r="I8" s="25" t="n">
        <v>4</v>
      </c>
      <c r="J8" s="25" t="n">
        <v>12</v>
      </c>
      <c r="K8" s="25" t="n">
        <v>80</v>
      </c>
      <c r="L8" s="25" t="n">
        <v>83</v>
      </c>
      <c r="M8" s="41" t="n">
        <v>3</v>
      </c>
      <c r="N8" s="27">
        <f>(L8/K8)*100</f>
        <v/>
      </c>
      <c r="O8" s="12" t="inlineStr">
        <is>
          <t>Verde</t>
        </is>
      </c>
      <c r="P8" s="0" t="n">
        <v>1</v>
      </c>
    </row>
    <row r="9" ht="15.75" customHeight="1" s="44">
      <c r="A9" s="26" t="inlineStr">
        <is>
          <t>M4.2</t>
        </is>
      </c>
      <c r="B9" s="14" t="inlineStr">
        <is>
          <t>Análisis del proceso actual</t>
        </is>
      </c>
      <c r="C9" s="29" t="inlineStr">
        <is>
          <t>Configuración de servicios interoperables</t>
        </is>
      </c>
      <c r="D9" s="24" t="inlineStr">
        <is>
          <t>Ascendente</t>
        </is>
      </c>
      <c r="E9" s="24" t="inlineStr">
        <is>
          <t>%</t>
        </is>
      </c>
      <c r="F9" s="26" t="n">
        <v>95</v>
      </c>
      <c r="G9" s="26" t="n">
        <v>2026</v>
      </c>
      <c r="H9" s="26" t="inlineStr">
        <is>
          <t>Enero</t>
        </is>
      </c>
      <c r="I9" s="26" t="n">
        <v>1</v>
      </c>
      <c r="J9" s="26" t="n">
        <v>10</v>
      </c>
      <c r="K9" s="26" t="n">
        <v>10</v>
      </c>
      <c r="L9" s="26" t="n">
        <v>10</v>
      </c>
      <c r="M9" s="27" t="n">
        <v>0</v>
      </c>
      <c r="N9" s="27">
        <f>(L9/K9)*100</f>
        <v/>
      </c>
      <c r="O9" s="12" t="inlineStr">
        <is>
          <t>Verde</t>
        </is>
      </c>
      <c r="P9" s="0" t="n">
        <v>2</v>
      </c>
    </row>
    <row r="10" ht="15.75" customHeight="1" s="44">
      <c r="A10" s="25" t="inlineStr">
        <is>
          <t>M4.2</t>
        </is>
      </c>
      <c r="B10" s="18" t="inlineStr">
        <is>
          <t>Análisis del proceso actual</t>
        </is>
      </c>
      <c r="C10" s="29" t="inlineStr">
        <is>
          <t>Configuración de servicios interoperables</t>
        </is>
      </c>
      <c r="D10" s="24" t="inlineStr">
        <is>
          <t>Ascendente</t>
        </is>
      </c>
      <c r="E10" s="24" t="inlineStr">
        <is>
          <t>%</t>
        </is>
      </c>
      <c r="F10" s="25" t="n">
        <v>95</v>
      </c>
      <c r="G10" s="25" t="n">
        <v>2026</v>
      </c>
      <c r="H10" s="25" t="inlineStr">
        <is>
          <t>Febrero</t>
        </is>
      </c>
      <c r="I10" s="25" t="n">
        <v>3</v>
      </c>
      <c r="J10" s="25" t="n">
        <v>12</v>
      </c>
      <c r="K10" s="25" t="n">
        <v>25</v>
      </c>
      <c r="L10" s="25" t="n">
        <v>25</v>
      </c>
      <c r="M10" s="41" t="n">
        <v>0</v>
      </c>
      <c r="N10" s="27">
        <f>(L10/K10)*100</f>
        <v/>
      </c>
      <c r="O10" s="12" t="inlineStr">
        <is>
          <t>Verde</t>
        </is>
      </c>
      <c r="P10" s="0" t="n">
        <v>2</v>
      </c>
    </row>
    <row r="11" ht="15.75" customHeight="1" s="44">
      <c r="A11" s="26" t="inlineStr">
        <is>
          <t>M4.2</t>
        </is>
      </c>
      <c r="B11" s="14" t="inlineStr">
        <is>
          <t>Análisis del proceso actual</t>
        </is>
      </c>
      <c r="C11" s="29" t="inlineStr">
        <is>
          <t>Configuración de servicios interoperables</t>
        </is>
      </c>
      <c r="D11" s="24" t="inlineStr">
        <is>
          <t>Ascendente</t>
        </is>
      </c>
      <c r="E11" s="24" t="inlineStr">
        <is>
          <t>%</t>
        </is>
      </c>
      <c r="F11" s="26" t="n">
        <v>95</v>
      </c>
      <c r="G11" s="26" t="n">
        <v>2026</v>
      </c>
      <c r="H11" s="26" t="inlineStr">
        <is>
          <t>Marzo</t>
        </is>
      </c>
      <c r="I11" s="26" t="n">
        <v>6</v>
      </c>
      <c r="J11" s="26" t="n">
        <v>15</v>
      </c>
      <c r="K11" s="26" t="n">
        <v>45</v>
      </c>
      <c r="L11" s="26" t="n">
        <v>40</v>
      </c>
      <c r="M11" s="27" t="n">
        <v>-5</v>
      </c>
      <c r="N11" s="27">
        <f>(L11/K11)*100</f>
        <v/>
      </c>
      <c r="O11" s="28" t="inlineStr">
        <is>
          <t>Amarillo</t>
        </is>
      </c>
      <c r="P11" s="0" t="n">
        <v>2</v>
      </c>
    </row>
    <row r="12" ht="15.75" customHeight="1" s="44">
      <c r="A12" s="25" t="inlineStr">
        <is>
          <t>M4.2</t>
        </is>
      </c>
      <c r="B12" s="18" t="inlineStr">
        <is>
          <t>Análisis del proceso actual</t>
        </is>
      </c>
      <c r="C12" s="29" t="inlineStr">
        <is>
          <t>Configuración de servicios interoperables</t>
        </is>
      </c>
      <c r="D12" s="24" t="inlineStr">
        <is>
          <t>Ascendente</t>
        </is>
      </c>
      <c r="E12" s="24" t="inlineStr">
        <is>
          <t>%</t>
        </is>
      </c>
      <c r="F12" s="25" t="n">
        <v>95</v>
      </c>
      <c r="G12" s="25" t="n">
        <v>2026</v>
      </c>
      <c r="H12" s="25" t="inlineStr">
        <is>
          <t>Abril</t>
        </is>
      </c>
      <c r="I12" s="25" t="n">
        <v>9</v>
      </c>
      <c r="J12" s="25" t="n">
        <v>15</v>
      </c>
      <c r="K12" s="25" t="n">
        <v>60</v>
      </c>
      <c r="L12" s="25" t="n">
        <v>60</v>
      </c>
      <c r="M12" s="41" t="n">
        <v>0</v>
      </c>
      <c r="N12" s="27">
        <f>(L12/K12)*100</f>
        <v/>
      </c>
      <c r="O12" s="43" t="inlineStr">
        <is>
          <t>Verde</t>
        </is>
      </c>
      <c r="P12" s="0" t="n">
        <v>2</v>
      </c>
    </row>
    <row r="13" ht="15.75" customHeight="1" s="44">
      <c r="A13" s="26" t="inlineStr">
        <is>
          <t>M4.2</t>
        </is>
      </c>
      <c r="B13" s="14" t="inlineStr">
        <is>
          <t>Análisis del proceso actual</t>
        </is>
      </c>
      <c r="C13" s="29" t="inlineStr">
        <is>
          <t>Configuración de servicios interoperables</t>
        </is>
      </c>
      <c r="D13" s="24" t="inlineStr">
        <is>
          <t>Ascendente</t>
        </is>
      </c>
      <c r="E13" s="24" t="inlineStr">
        <is>
          <t>%</t>
        </is>
      </c>
      <c r="F13" s="26" t="n">
        <v>95</v>
      </c>
      <c r="G13" s="26" t="n">
        <v>2026</v>
      </c>
      <c r="H13" s="26" t="inlineStr">
        <is>
          <t>Mayo</t>
        </is>
      </c>
      <c r="I13" s="26" t="n">
        <v>12</v>
      </c>
      <c r="J13" s="26" t="n">
        <v>16</v>
      </c>
      <c r="K13" s="26" t="n">
        <v>75</v>
      </c>
      <c r="L13" s="26" t="n">
        <v>75</v>
      </c>
      <c r="M13" s="27" t="n">
        <v>0</v>
      </c>
      <c r="N13" s="27">
        <f>(L13/K13)*100</f>
        <v/>
      </c>
      <c r="O13" s="12" t="inlineStr">
        <is>
          <t>Verde</t>
        </is>
      </c>
      <c r="P13" s="0" t="n">
        <v>2</v>
      </c>
    </row>
    <row r="14" ht="15.75" customHeight="1" s="44">
      <c r="A14" s="25" t="inlineStr">
        <is>
          <t>M4.3</t>
        </is>
      </c>
      <c r="B14" s="18" t="inlineStr">
        <is>
          <t>Diseño del servicio interoperable</t>
        </is>
      </c>
      <c r="C14" s="24" t="inlineStr">
        <is>
          <t>Ejecución de los servicios interoperables</t>
        </is>
      </c>
      <c r="D14" s="24" t="inlineStr">
        <is>
          <t>Ascendente</t>
        </is>
      </c>
      <c r="E14" s="24" t="inlineStr">
        <is>
          <t>%</t>
        </is>
      </c>
      <c r="F14" s="25" t="n">
        <v>95</v>
      </c>
      <c r="G14" s="25" t="n">
        <v>2026</v>
      </c>
      <c r="H14" s="25" t="inlineStr">
        <is>
          <t>Enero</t>
        </is>
      </c>
      <c r="I14" s="25" t="n">
        <v>2</v>
      </c>
      <c r="J14" s="25" t="n">
        <v>20</v>
      </c>
      <c r="K14" s="25" t="n">
        <v>10</v>
      </c>
      <c r="L14" s="25" t="n">
        <v>10</v>
      </c>
      <c r="M14" s="41" t="n">
        <v>0</v>
      </c>
      <c r="N14" s="27">
        <f>(L14/K14)*100</f>
        <v/>
      </c>
      <c r="O14" s="12" t="inlineStr">
        <is>
          <t>Verde</t>
        </is>
      </c>
      <c r="P14" t="n">
        <v>3</v>
      </c>
    </row>
    <row r="15" ht="15.75" customHeight="1" s="44">
      <c r="A15" s="26" t="inlineStr">
        <is>
          <t>M4.3</t>
        </is>
      </c>
      <c r="B15" s="14" t="inlineStr">
        <is>
          <t>Diseño del servicio interoperable</t>
        </is>
      </c>
      <c r="C15" s="24" t="inlineStr">
        <is>
          <t>Ejecución de los servicios interoperables</t>
        </is>
      </c>
      <c r="D15" s="24" t="inlineStr">
        <is>
          <t>Ascendente</t>
        </is>
      </c>
      <c r="E15" s="24" t="inlineStr">
        <is>
          <t>%</t>
        </is>
      </c>
      <c r="F15" s="26" t="n">
        <v>95</v>
      </c>
      <c r="G15" s="26" t="n">
        <v>2026</v>
      </c>
      <c r="H15" s="26" t="inlineStr">
        <is>
          <t>Febrero</t>
        </is>
      </c>
      <c r="I15" s="26" t="n">
        <v>5</v>
      </c>
      <c r="J15" s="26" t="n">
        <v>20</v>
      </c>
      <c r="K15" s="26" t="n">
        <v>20</v>
      </c>
      <c r="L15" s="26" t="n">
        <v>25</v>
      </c>
      <c r="M15" s="27" t="n">
        <v>5</v>
      </c>
      <c r="N15" s="27">
        <f>(L15/K15)*100</f>
        <v/>
      </c>
      <c r="O15" s="12" t="inlineStr">
        <is>
          <t>Verde</t>
        </is>
      </c>
      <c r="P15" t="n">
        <v>3</v>
      </c>
    </row>
    <row r="16" ht="15.75" customHeight="1" s="44">
      <c r="A16" s="25" t="inlineStr">
        <is>
          <t>M4.3</t>
        </is>
      </c>
      <c r="B16" s="18" t="inlineStr">
        <is>
          <t>Diseño del servicio interoperable</t>
        </is>
      </c>
      <c r="C16" s="24" t="inlineStr">
        <is>
          <t>Ejecución de los servicios interoperables</t>
        </is>
      </c>
      <c r="D16" s="24" t="inlineStr">
        <is>
          <t>Ascendente</t>
        </is>
      </c>
      <c r="E16" s="24" t="inlineStr">
        <is>
          <t>%</t>
        </is>
      </c>
      <c r="F16" s="25" t="n">
        <v>95</v>
      </c>
      <c r="G16" s="25" t="n">
        <v>2026</v>
      </c>
      <c r="H16" s="25" t="inlineStr">
        <is>
          <t>Marzo</t>
        </is>
      </c>
      <c r="I16" s="25" t="n">
        <v>9</v>
      </c>
      <c r="J16" s="25" t="n">
        <v>22</v>
      </c>
      <c r="K16" s="25" t="n">
        <v>45</v>
      </c>
      <c r="L16" s="25" t="n">
        <v>41</v>
      </c>
      <c r="M16" s="41" t="n">
        <v>-4</v>
      </c>
      <c r="N16" s="27">
        <f>(L16/K16)*100</f>
        <v/>
      </c>
      <c r="O16" s="28" t="inlineStr">
        <is>
          <t>Amarillo</t>
        </is>
      </c>
      <c r="P16" t="n">
        <v>3</v>
      </c>
    </row>
    <row r="17" ht="15.75" customHeight="1" s="44">
      <c r="A17" s="26" t="inlineStr">
        <is>
          <t>M4.3</t>
        </is>
      </c>
      <c r="B17" s="14" t="inlineStr">
        <is>
          <t>Diseño del servicio interoperable</t>
        </is>
      </c>
      <c r="C17" s="24" t="inlineStr">
        <is>
          <t>Ejecución de los servicios interoperables</t>
        </is>
      </c>
      <c r="D17" s="24" t="inlineStr">
        <is>
          <t>Ascendente</t>
        </is>
      </c>
      <c r="E17" s="24" t="inlineStr">
        <is>
          <t>%</t>
        </is>
      </c>
      <c r="F17" s="26" t="n">
        <v>95</v>
      </c>
      <c r="G17" s="26" t="n">
        <v>2026</v>
      </c>
      <c r="H17" s="26" t="inlineStr">
        <is>
          <t>Abril</t>
        </is>
      </c>
      <c r="I17" s="26" t="n">
        <v>15</v>
      </c>
      <c r="J17" s="26" t="n">
        <v>25</v>
      </c>
      <c r="K17" s="26" t="n">
        <v>55</v>
      </c>
      <c r="L17" s="26" t="n">
        <v>60</v>
      </c>
      <c r="M17" s="27" t="n">
        <v>5</v>
      </c>
      <c r="N17" s="27">
        <f>(L17/K17)*100</f>
        <v/>
      </c>
      <c r="O17" s="12" t="inlineStr">
        <is>
          <t>Verde</t>
        </is>
      </c>
      <c r="P17" t="n">
        <v>3</v>
      </c>
    </row>
    <row r="18" ht="15.75" customHeight="1" s="44">
      <c r="A18" s="25" t="inlineStr">
        <is>
          <t>M4.3</t>
        </is>
      </c>
      <c r="B18" s="18" t="inlineStr">
        <is>
          <t>Diseño del servicio interoperable</t>
        </is>
      </c>
      <c r="C18" s="24" t="inlineStr">
        <is>
          <t>Ejecución de los servicios interoperables</t>
        </is>
      </c>
      <c r="D18" s="24" t="inlineStr">
        <is>
          <t>Ascendente</t>
        </is>
      </c>
      <c r="E18" s="24" t="inlineStr">
        <is>
          <t>%</t>
        </is>
      </c>
      <c r="F18" s="25" t="n">
        <v>95</v>
      </c>
      <c r="G18" s="25" t="n">
        <v>2026</v>
      </c>
      <c r="H18" s="25" t="inlineStr">
        <is>
          <t>Mayo</t>
        </is>
      </c>
      <c r="I18" s="25" t="n">
        <v>21</v>
      </c>
      <c r="J18" s="25" t="n">
        <v>28</v>
      </c>
      <c r="K18" s="25" t="n">
        <v>70</v>
      </c>
      <c r="L18" s="25" t="n">
        <v>75</v>
      </c>
      <c r="M18" s="41" t="n">
        <v>5</v>
      </c>
      <c r="N18" s="27">
        <f>(L18/K18)*100</f>
        <v/>
      </c>
      <c r="O18" s="12" t="inlineStr">
        <is>
          <t>Verde</t>
        </is>
      </c>
      <c r="P18" t="n">
        <v>3</v>
      </c>
    </row>
    <row r="19" ht="15.75" customHeight="1" s="44"/>
    <row r="20" ht="15.75" customHeight="1" s="44"/>
    <row r="21" ht="15.75" customHeight="1" s="44">
      <c r="A21" s="48" t="inlineStr">
        <is>
          <t>FÓRMULAS APLICADAS</t>
        </is>
      </c>
      <c r="B21" s="46" t="n"/>
      <c r="C21" s="46" t="n"/>
      <c r="D21" s="46" t="n"/>
      <c r="E21" s="46" t="n"/>
      <c r="F21" s="46" t="n"/>
      <c r="G21" s="46" t="n"/>
      <c r="H21" s="46" t="n"/>
      <c r="I21" s="46" t="n"/>
      <c r="J21" s="46" t="n"/>
      <c r="K21" s="46" t="n"/>
      <c r="L21" s="46" t="n"/>
      <c r="M21" s="46" t="n"/>
      <c r="N21" s="46" t="n"/>
      <c r="O21" s="46" t="n"/>
    </row>
    <row r="22" ht="15.75" customHeight="1" s="44">
      <c r="A22" s="22" t="inlineStr">
        <is>
          <t>PORCENTAJE</t>
        </is>
      </c>
      <c r="B22" s="21" t="inlineStr">
        <is>
          <t>(NUMERADOR / DENOMINADOR) × 100</t>
        </is>
      </c>
      <c r="C22" s="46" t="n"/>
      <c r="D22" s="46" t="n"/>
      <c r="E22" s="46" t="n"/>
      <c r="F22" s="46" t="n"/>
      <c r="G22" s="46" t="n"/>
      <c r="H22" s="46" t="n"/>
      <c r="I22" s="46" t="n"/>
      <c r="J22" s="46" t="n"/>
      <c r="K22" s="46" t="n"/>
      <c r="L22" s="46" t="n"/>
      <c r="M22" s="46" t="n"/>
      <c r="N22" s="46" t="n"/>
      <c r="O22" s="46" t="n"/>
    </row>
    <row r="23" ht="15.75" customHeight="1" s="44">
      <c r="A23" s="22" t="inlineStr">
        <is>
          <t>AVANCE_T1</t>
        </is>
      </c>
      <c r="B23" s="21" t="inlineStr">
        <is>
          <t>min((RESULTADO_OBTENIDO / RESULTADO_ESPERADO) × 100 , 100)  — Directiva CEPLAN, indicador ascendente</t>
        </is>
      </c>
      <c r="C23" s="46" t="n"/>
      <c r="D23" s="46" t="n"/>
      <c r="E23" s="46" t="n"/>
      <c r="F23" s="46" t="n"/>
      <c r="G23" s="46" t="n"/>
      <c r="H23" s="46" t="n"/>
      <c r="I23" s="46" t="n"/>
      <c r="J23" s="46" t="n"/>
      <c r="K23" s="46" t="n"/>
      <c r="L23" s="46" t="n"/>
      <c r="M23" s="46" t="n"/>
      <c r="N23" s="46" t="n"/>
      <c r="O23" s="46" t="n"/>
    </row>
    <row r="24" ht="15.75" customHeight="1" s="44">
      <c r="A24" s="22" t="inlineStr">
        <is>
          <t>SEMAFORO CEPLAN</t>
        </is>
      </c>
      <c r="B24" s="21" t="inlineStr">
        <is>
          <t>Verde ≥ 95  |  Amarillo ≥ 75 y &lt; 95  |  Rojo &lt; 75  — Resolución N° 0056-2024-Ceplan/PCD</t>
        </is>
      </c>
      <c r="C24" s="46" t="n"/>
      <c r="D24" s="46" t="n"/>
      <c r="E24" s="46" t="n"/>
      <c r="F24" s="46" t="n"/>
      <c r="G24" s="46" t="n"/>
      <c r="H24" s="46" t="n"/>
      <c r="I24" s="46" t="n"/>
      <c r="J24" s="46" t="n"/>
      <c r="K24" s="46" t="n"/>
      <c r="L24" s="46" t="n"/>
      <c r="M24" s="46" t="n"/>
      <c r="N24" s="46" t="n"/>
      <c r="O24" s="46" t="n"/>
    </row>
    <row r="25" ht="15.75" customHeight="1" s="44">
      <c r="A25" s="22" t="inlineStr">
        <is>
          <t>Meses en azul</t>
        </is>
      </c>
      <c r="B25" s="21" t="inlineStr">
        <is>
          <t>Julio y Agosto = datos de proyección tras acción de mejora</t>
        </is>
      </c>
      <c r="C25" s="46" t="n"/>
      <c r="D25" s="46" t="n"/>
      <c r="E25" s="46" t="n"/>
      <c r="F25" s="46" t="n"/>
      <c r="G25" s="46" t="n"/>
      <c r="H25" s="46" t="n"/>
      <c r="I25" s="46" t="n"/>
      <c r="J25" s="46" t="n"/>
      <c r="K25" s="46" t="n"/>
      <c r="L25" s="46" t="n"/>
      <c r="M25" s="46" t="n"/>
      <c r="N25" s="46" t="n"/>
      <c r="O25" s="46" t="n"/>
    </row>
    <row r="26" ht="15.75" customHeight="1" s="44"/>
    <row r="27" ht="15.75" customHeight="1" s="44"/>
    <row r="28" ht="15.75" customHeight="1" s="44"/>
    <row r="29" ht="15.75" customHeight="1" s="44"/>
    <row r="30" ht="15.75" customHeight="1" s="44"/>
    <row r="31" ht="15.75" customHeight="1" s="44"/>
    <row r="32" ht="15.75" customHeight="1" s="44"/>
    <row r="33" ht="15.75" customHeight="1" s="44"/>
    <row r="34" ht="15.75" customHeight="1" s="44"/>
    <row r="35" ht="15.75" customHeight="1" s="44"/>
    <row r="36" ht="15.75" customHeight="1" s="44"/>
    <row r="37" ht="15.75" customHeight="1" s="44"/>
    <row r="38" ht="15.75" customHeight="1" s="44"/>
    <row r="39" ht="15.75" customHeight="1" s="44"/>
    <row r="40" ht="15.75" customHeight="1" s="44"/>
    <row r="41" ht="15.75" customHeight="1" s="44"/>
    <row r="42" ht="15.75" customHeight="1" s="44"/>
    <row r="43" ht="15.75" customHeight="1" s="44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  <row r="44" ht="15.75" customHeight="1" s="44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</row>
    <row r="45" ht="15.75" customHeight="1" s="44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</row>
    <row r="46" ht="15.75" customHeight="1" s="44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</row>
    <row r="47" ht="15.75" customHeight="1" s="44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</row>
    <row r="48" ht="15.75" customHeight="1" s="44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</row>
    <row r="49" ht="15.75" customHeight="1" s="44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</row>
    <row r="50" ht="15.75" customHeight="1" s="44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</row>
    <row r="51" ht="15.75" customHeight="1" s="44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</row>
    <row r="52" ht="15.75" customHeight="1" s="44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</row>
    <row r="53" ht="15.75" customHeight="1" s="44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</row>
    <row r="54" ht="15.75" customHeight="1" s="44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</row>
    <row r="55" ht="15.75" customHeight="1" s="44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</row>
    <row r="56" ht="15.75" customHeight="1" s="44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</row>
    <row r="57" ht="15.75" customHeight="1" s="44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</row>
    <row r="58" ht="15.75" customHeight="1" s="44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</row>
    <row r="59" ht="15.75" customHeight="1" s="44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</row>
    <row r="60" ht="15.75" customHeight="1" s="44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</row>
    <row r="61" ht="15.75" customHeight="1" s="44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</row>
    <row r="62" ht="15.75" customHeight="1" s="44">
      <c r="A62" s="33" t="n"/>
      <c r="B62" s="33" t="n"/>
      <c r="C62" s="33" t="n"/>
      <c r="D62" s="33" t="n"/>
      <c r="E62" s="33" t="n"/>
      <c r="F62" s="33" t="n"/>
      <c r="G62" s="33" t="n"/>
      <c r="H62" s="33" t="n"/>
      <c r="I62" s="33" t="n"/>
      <c r="J62" s="33" t="n"/>
      <c r="K62" s="33" t="n"/>
      <c r="L62" s="33" t="n"/>
    </row>
    <row r="63" ht="15.75" customHeight="1" s="44">
      <c r="A63" s="33" t="n"/>
      <c r="B63" s="33" t="n"/>
      <c r="C63" s="33" t="n"/>
      <c r="D63" s="33" t="n"/>
      <c r="E63" s="33" t="n"/>
      <c r="F63" s="33" t="n"/>
      <c r="G63" s="33" t="n"/>
      <c r="H63" s="33" t="n"/>
      <c r="I63" s="33" t="n"/>
      <c r="J63" s="33" t="n"/>
      <c r="K63" s="33" t="n"/>
      <c r="L63" s="33" t="n"/>
    </row>
    <row r="64" ht="15.75" customHeight="1" s="44">
      <c r="A64" s="33" t="n"/>
      <c r="B64" s="33" t="n"/>
      <c r="C64" s="33" t="n"/>
      <c r="D64" s="33" t="n"/>
      <c r="E64" s="33" t="n"/>
      <c r="F64" s="33" t="n"/>
      <c r="G64" s="33" t="n"/>
      <c r="H64" s="33" t="n"/>
      <c r="I64" s="33" t="n"/>
      <c r="J64" s="33" t="n"/>
      <c r="K64" s="33" t="n"/>
      <c r="L64" s="33" t="n"/>
    </row>
    <row r="65" ht="15.75" customHeight="1" s="44">
      <c r="A65" s="33" t="n"/>
      <c r="B65" s="33" t="n"/>
      <c r="C65" s="33" t="n"/>
      <c r="D65" s="33" t="n"/>
      <c r="E65" s="33" t="n"/>
      <c r="F65" s="33" t="n"/>
      <c r="G65" s="33" t="n"/>
      <c r="H65" s="33" t="n"/>
      <c r="I65" s="33" t="n"/>
      <c r="J65" s="33" t="n"/>
      <c r="K65" s="33" t="n"/>
      <c r="L65" s="33" t="n"/>
    </row>
    <row r="66" ht="15.75" customHeight="1" s="44">
      <c r="A66" s="33" t="n"/>
      <c r="B66" s="33" t="n"/>
      <c r="C66" s="33" t="n"/>
      <c r="D66" s="33" t="n"/>
      <c r="E66" s="33" t="n"/>
      <c r="F66" s="33" t="n"/>
      <c r="G66" s="33" t="n"/>
      <c r="H66" s="33" t="n"/>
      <c r="I66" s="33" t="n"/>
      <c r="J66" s="33" t="n"/>
      <c r="K66" s="33" t="n"/>
      <c r="L66" s="33" t="n"/>
    </row>
    <row r="67" ht="15.75" customHeight="1" s="44">
      <c r="A67" s="33" t="n"/>
      <c r="B67" s="33" t="n"/>
      <c r="C67" s="33" t="n"/>
      <c r="D67" s="33" t="n"/>
      <c r="E67" s="33" t="n"/>
      <c r="F67" s="33" t="n"/>
      <c r="G67" s="33" t="n"/>
      <c r="H67" s="33" t="n"/>
      <c r="I67" s="33" t="n"/>
      <c r="J67" s="33" t="n"/>
      <c r="K67" s="33" t="n"/>
      <c r="L67" s="33" t="n"/>
    </row>
    <row r="68" ht="15.75" customHeight="1" s="44">
      <c r="A68" s="33" t="n"/>
      <c r="B68" s="33" t="n"/>
      <c r="C68" s="33" t="n"/>
      <c r="D68" s="33" t="n"/>
      <c r="E68" s="33" t="n"/>
      <c r="F68" s="33" t="n"/>
      <c r="G68" s="33" t="n"/>
      <c r="H68" s="33" t="n"/>
      <c r="I68" s="33" t="n"/>
      <c r="J68" s="33" t="n"/>
      <c r="K68" s="33" t="n"/>
      <c r="L68" s="33" t="n"/>
    </row>
    <row r="69" ht="15.75" customHeight="1" s="44">
      <c r="A69" s="33" t="n"/>
      <c r="B69" s="33" t="n"/>
      <c r="C69" s="33" t="n"/>
      <c r="D69" s="33" t="n"/>
      <c r="E69" s="33" t="n"/>
      <c r="F69" s="33" t="n"/>
      <c r="G69" s="33" t="n"/>
      <c r="H69" s="33" t="n"/>
      <c r="I69" s="33" t="n"/>
      <c r="J69" s="33" t="n"/>
      <c r="K69" s="33" t="n"/>
      <c r="L69" s="33" t="n"/>
    </row>
    <row r="70" ht="15.75" customHeight="1" s="44">
      <c r="A70" s="33" t="n"/>
      <c r="B70" s="33" t="n"/>
      <c r="C70" s="33" t="n"/>
      <c r="D70" s="33" t="n"/>
      <c r="E70" s="33" t="n"/>
      <c r="F70" s="33" t="n"/>
      <c r="G70" s="33" t="n"/>
      <c r="H70" s="33" t="n"/>
      <c r="I70" s="33" t="n"/>
      <c r="J70" s="33" t="n"/>
      <c r="K70" s="33" t="n"/>
      <c r="L70" s="33" t="n"/>
    </row>
    <row r="71" ht="15.75" customHeight="1" s="44">
      <c r="A71" s="33" t="n"/>
      <c r="B71" s="33" t="n"/>
      <c r="C71" s="33" t="n"/>
      <c r="D71" s="33" t="n"/>
      <c r="E71" s="33" t="n"/>
      <c r="F71" s="33" t="n"/>
      <c r="G71" s="33" t="n"/>
      <c r="H71" s="33" t="n"/>
      <c r="I71" s="33" t="n"/>
      <c r="J71" s="33" t="n"/>
      <c r="K71" s="33" t="n"/>
      <c r="L71" s="33" t="n"/>
    </row>
    <row r="72" ht="15.75" customHeight="1" s="44">
      <c r="A72" s="33" t="n"/>
      <c r="B72" s="33" t="n"/>
      <c r="C72" s="33" t="n"/>
      <c r="D72" s="33" t="n"/>
      <c r="E72" s="33" t="n"/>
      <c r="F72" s="33" t="n"/>
      <c r="G72" s="33" t="n"/>
      <c r="H72" s="33" t="n"/>
      <c r="I72" s="33" t="n"/>
      <c r="J72" s="33" t="n"/>
      <c r="K72" s="33" t="n"/>
      <c r="L72" s="33" t="n"/>
    </row>
    <row r="73" ht="15.75" customHeight="1" s="44">
      <c r="A73" s="33" t="n"/>
      <c r="B73" s="33" t="n"/>
      <c r="C73" s="33" t="n"/>
      <c r="D73" s="33" t="n"/>
      <c r="E73" s="33" t="n"/>
      <c r="F73" s="33" t="n"/>
      <c r="G73" s="33" t="n"/>
      <c r="H73" s="33" t="n"/>
      <c r="I73" s="33" t="n"/>
      <c r="J73" s="33" t="n"/>
      <c r="K73" s="33" t="n"/>
      <c r="L73" s="33" t="n"/>
    </row>
    <row r="74" ht="15.75" customHeight="1" s="44">
      <c r="A74" s="33" t="n"/>
      <c r="B74" s="33" t="n"/>
      <c r="C74" s="33" t="n"/>
      <c r="D74" s="33" t="n"/>
      <c r="E74" s="33" t="n"/>
      <c r="F74" s="33" t="n"/>
      <c r="G74" s="33" t="n"/>
      <c r="H74" s="33" t="n"/>
      <c r="I74" s="33" t="n"/>
      <c r="J74" s="33" t="n"/>
      <c r="K74" s="33" t="n"/>
      <c r="L74" s="33" t="n"/>
    </row>
    <row r="75" ht="15.75" customHeight="1" s="44">
      <c r="A75" s="33" t="n"/>
      <c r="B75" s="33" t="n"/>
      <c r="C75" s="33" t="n"/>
      <c r="D75" s="33" t="n"/>
      <c r="E75" s="33" t="n"/>
      <c r="F75" s="33" t="n"/>
      <c r="G75" s="33" t="n"/>
      <c r="H75" s="33" t="n"/>
      <c r="I75" s="33" t="n"/>
      <c r="J75" s="33" t="n"/>
      <c r="K75" s="33" t="n"/>
      <c r="L75" s="33" t="n"/>
    </row>
    <row r="76" ht="15.75" customHeight="1" s="44">
      <c r="A76" s="33" t="n"/>
      <c r="B76" s="33" t="n"/>
      <c r="C76" s="33" t="n"/>
      <c r="D76" s="33" t="n"/>
      <c r="E76" s="33" t="n"/>
      <c r="F76" s="33" t="n"/>
      <c r="G76" s="33" t="n"/>
      <c r="H76" s="33" t="n"/>
      <c r="I76" s="33" t="n"/>
      <c r="J76" s="33" t="n"/>
      <c r="K76" s="33" t="n"/>
      <c r="L76" s="33" t="n"/>
    </row>
    <row r="77" ht="15.75" customHeight="1" s="44">
      <c r="A77" s="33" t="n"/>
      <c r="B77" s="33" t="n"/>
      <c r="C77" s="33" t="n"/>
      <c r="D77" s="33" t="n"/>
      <c r="E77" s="33" t="n"/>
      <c r="F77" s="33" t="n"/>
      <c r="G77" s="33" t="n"/>
      <c r="H77" s="33" t="n"/>
      <c r="I77" s="33" t="n"/>
      <c r="J77" s="33" t="n"/>
      <c r="K77" s="33" t="n"/>
      <c r="L77" s="33" t="n"/>
    </row>
    <row r="78" ht="15.75" customHeight="1" s="44">
      <c r="A78" s="33" t="n"/>
      <c r="B78" s="33" t="n"/>
      <c r="C78" s="33" t="n"/>
      <c r="D78" s="33" t="n"/>
      <c r="E78" s="33" t="n"/>
      <c r="F78" s="33" t="n"/>
      <c r="G78" s="33" t="n"/>
      <c r="H78" s="33" t="n"/>
      <c r="I78" s="33" t="n"/>
      <c r="J78" s="33" t="n"/>
      <c r="K78" s="33" t="n"/>
      <c r="L78" s="33" t="n"/>
    </row>
    <row r="79" ht="15.75" customHeight="1" s="44"/>
    <row r="80" ht="15.75" customHeight="1" s="44"/>
    <row r="81" ht="15.75" customHeight="1" s="44"/>
    <row r="82" ht="15.75" customHeight="1" s="44"/>
    <row r="83" ht="15.75" customHeight="1" s="44"/>
    <row r="84" ht="15.75" customHeight="1" s="44"/>
    <row r="85" ht="15.75" customHeight="1" s="44"/>
    <row r="86" ht="15.75" customHeight="1" s="44"/>
    <row r="87" ht="15.75" customHeight="1" s="44"/>
    <row r="88" ht="15.75" customHeight="1" s="44"/>
    <row r="89" ht="15.75" customHeight="1" s="44"/>
    <row r="90" ht="15.75" customHeight="1" s="44"/>
    <row r="91" ht="15.75" customHeight="1" s="44"/>
    <row r="92" ht="15.75" customHeight="1" s="44"/>
    <row r="93" ht="15.75" customHeight="1" s="44"/>
    <row r="94" ht="15.75" customHeight="1" s="44"/>
    <row r="95" ht="15.75" customHeight="1" s="44"/>
    <row r="96" ht="15.75" customHeight="1" s="44"/>
    <row r="97" ht="15.75" customHeight="1" s="44"/>
    <row r="98" ht="15.75" customHeight="1" s="44"/>
    <row r="99" ht="15.75" customHeight="1" s="44"/>
    <row r="100" ht="15.75" customHeight="1" s="44"/>
    <row r="101" ht="15.75" customHeight="1" s="44"/>
    <row r="102" ht="15.75" customHeight="1" s="44"/>
    <row r="103" ht="15.75" customHeight="1" s="44"/>
    <row r="104" ht="15.75" customHeight="1" s="44"/>
    <row r="105" ht="15.75" customHeight="1" s="44"/>
    <row r="106" ht="15.75" customHeight="1" s="44"/>
    <row r="107" ht="15.75" customHeight="1" s="44"/>
    <row r="108" ht="15.75" customHeight="1" s="44"/>
    <row r="109" ht="15.75" customHeight="1" s="44"/>
    <row r="110" ht="15.75" customHeight="1" s="44"/>
    <row r="111" ht="15.75" customHeight="1" s="44"/>
    <row r="112" ht="15.75" customHeight="1" s="44"/>
    <row r="113" ht="15.75" customHeight="1" s="44"/>
    <row r="114" ht="15.75" customHeight="1" s="44"/>
    <row r="115" ht="15.75" customHeight="1" s="44"/>
    <row r="116" ht="15.75" customHeight="1" s="44"/>
    <row r="117" ht="15.75" customHeight="1" s="44"/>
    <row r="118" ht="15.75" customHeight="1" s="44"/>
    <row r="119" ht="15.75" customHeight="1" s="44"/>
    <row r="120" ht="15.75" customHeight="1" s="44"/>
    <row r="121" ht="15.75" customHeight="1" s="44"/>
    <row r="122" ht="15.75" customHeight="1" s="44"/>
    <row r="123" ht="15.75" customHeight="1" s="44"/>
    <row r="124" ht="15.75" customHeight="1" s="44"/>
    <row r="125" ht="15.75" customHeight="1" s="44"/>
    <row r="126" ht="15.75" customHeight="1" s="44"/>
    <row r="127" ht="15.75" customHeight="1" s="44"/>
    <row r="128" ht="15.75" customHeight="1" s="44"/>
    <row r="129" ht="15.75" customHeight="1" s="44"/>
    <row r="130" ht="15.75" customHeight="1" s="44"/>
    <row r="131" ht="15.75" customHeight="1" s="44"/>
    <row r="132" ht="15.75" customHeight="1" s="44"/>
    <row r="133" ht="15.75" customHeight="1" s="44"/>
    <row r="134" ht="15.75" customHeight="1" s="44"/>
    <row r="135" ht="15.75" customHeight="1" s="44"/>
    <row r="136" ht="15.75" customHeight="1" s="44"/>
    <row r="137" ht="15.75" customHeight="1" s="44"/>
    <row r="138" ht="15.75" customHeight="1" s="44"/>
    <row r="139" ht="15.75" customHeight="1" s="44"/>
    <row r="140" ht="15.75" customHeight="1" s="44"/>
    <row r="141" ht="15.75" customHeight="1" s="44"/>
    <row r="142" ht="15.75" customHeight="1" s="44"/>
    <row r="143" ht="15.75" customHeight="1" s="44"/>
    <row r="144" ht="15.75" customHeight="1" s="44"/>
    <row r="145" ht="15.75" customHeight="1" s="44"/>
    <row r="146" ht="15.75" customHeight="1" s="44"/>
    <row r="147" ht="15.75" customHeight="1" s="44"/>
    <row r="148" ht="15.75" customHeight="1" s="44"/>
    <row r="149" ht="15.75" customHeight="1" s="44"/>
    <row r="150" ht="15.75" customHeight="1" s="44"/>
    <row r="151" ht="15.75" customHeight="1" s="44"/>
    <row r="152" ht="15.75" customHeight="1" s="44"/>
    <row r="153" ht="15.75" customHeight="1" s="44"/>
    <row r="154" ht="15.75" customHeight="1" s="44"/>
    <row r="155" ht="15.75" customHeight="1" s="44"/>
    <row r="156" ht="15.75" customHeight="1" s="44"/>
    <row r="157" ht="15.75" customHeight="1" s="44"/>
    <row r="158" ht="15.75" customHeight="1" s="44"/>
    <row r="159" ht="15.75" customHeight="1" s="44"/>
    <row r="160" ht="15.75" customHeight="1" s="44"/>
    <row r="161" ht="15.75" customHeight="1" s="44"/>
    <row r="162" ht="15.75" customHeight="1" s="44"/>
    <row r="163" ht="15.75" customHeight="1" s="44"/>
    <row r="164" ht="15.75" customHeight="1" s="44"/>
    <row r="165" ht="15.75" customHeight="1" s="44"/>
    <row r="166" ht="15.75" customHeight="1" s="44"/>
    <row r="167" ht="15.75" customHeight="1" s="44"/>
    <row r="168" ht="15.75" customHeight="1" s="44"/>
    <row r="169" ht="15.75" customHeight="1" s="44"/>
    <row r="170" ht="15.75" customHeight="1" s="44"/>
    <row r="171" ht="15.75" customHeight="1" s="44"/>
    <row r="172" ht="15.75" customHeight="1" s="44"/>
    <row r="173" ht="15.75" customHeight="1" s="44"/>
    <row r="174" ht="15.75" customHeight="1" s="44"/>
    <row r="175" ht="15.75" customHeight="1" s="44"/>
    <row r="176" ht="15.75" customHeight="1" s="44"/>
    <row r="177" ht="15.75" customHeight="1" s="44"/>
    <row r="178" ht="15.75" customHeight="1" s="44"/>
    <row r="179" ht="15.75" customHeight="1" s="44"/>
    <row r="180" ht="15.75" customHeight="1" s="44"/>
    <row r="181" ht="15.75" customHeight="1" s="44"/>
    <row r="182" ht="15.75" customHeight="1" s="44"/>
    <row r="183" ht="15.75" customHeight="1" s="44"/>
    <row r="184" ht="15.75" customHeight="1" s="44"/>
    <row r="185" ht="15.75" customHeight="1" s="44"/>
    <row r="186" ht="15.75" customHeight="1" s="44"/>
    <row r="187" ht="15.75" customHeight="1" s="44"/>
    <row r="188" ht="15.75" customHeight="1" s="44"/>
    <row r="189" ht="15.75" customHeight="1" s="44"/>
    <row r="190" ht="15.75" customHeight="1" s="44"/>
    <row r="191" ht="15.75" customHeight="1" s="44"/>
    <row r="192" ht="15.75" customHeight="1" s="44"/>
    <row r="193" ht="15.75" customHeight="1" s="44"/>
    <row r="194" ht="15.75" customHeight="1" s="44"/>
    <row r="195" ht="15.75" customHeight="1" s="44"/>
    <row r="196" ht="15.75" customHeight="1" s="44"/>
    <row r="197" ht="15.75" customHeight="1" s="44"/>
    <row r="198" ht="15.75" customHeight="1" s="44"/>
    <row r="199" ht="15.75" customHeight="1" s="44"/>
    <row r="200" ht="15.75" customHeight="1" s="44"/>
    <row r="201" ht="15.75" customHeight="1" s="44"/>
    <row r="202" ht="15.75" customHeight="1" s="44"/>
    <row r="203" ht="15.75" customHeight="1" s="44"/>
    <row r="204" ht="15.75" customHeight="1" s="44"/>
    <row r="205" ht="15.75" customHeight="1" s="44"/>
    <row r="206" ht="15.75" customHeight="1" s="44"/>
    <row r="207" ht="15.75" customHeight="1" s="44"/>
    <row r="208" ht="15.75" customHeight="1" s="44"/>
    <row r="209" ht="15.75" customHeight="1" s="44"/>
    <row r="210" ht="15.75" customHeight="1" s="44"/>
    <row r="211" ht="15.75" customHeight="1" s="44"/>
    <row r="212" ht="15.75" customHeight="1" s="44"/>
    <row r="213" ht="15.75" customHeight="1" s="44"/>
    <row r="214" ht="15.75" customHeight="1" s="44"/>
    <row r="215" ht="15.75" customHeight="1" s="44"/>
    <row r="216" ht="15.75" customHeight="1" s="44"/>
    <row r="217" ht="15.75" customHeight="1" s="44"/>
    <row r="218" ht="15.75" customHeight="1" s="44"/>
    <row r="219" ht="15.75" customHeight="1" s="44"/>
    <row r="220" ht="15.75" customHeight="1" s="44"/>
    <row r="221" ht="15.75" customHeight="1" s="44"/>
    <row r="222" ht="15.75" customHeight="1" s="44"/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7">
    <mergeCell ref="A2:O2"/>
    <mergeCell ref="B24:O24"/>
    <mergeCell ref="A1:O1"/>
    <mergeCell ref="B25:O25"/>
    <mergeCell ref="B23:O23"/>
    <mergeCell ref="B22:O22"/>
    <mergeCell ref="A21:O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2026-06-17T13:00:08Z</dcterms:created>
  <dcterms:modified xsi:type="dcterms:W3CDTF">2026-06-17T13:01:47Z</dcterms:modified>
</cp:coreProperties>
</file>