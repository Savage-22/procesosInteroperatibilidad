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1 - Canteño" sheetId="1" state="visible" r:id="rId3"/>
    <sheet name="P2 - Daza Lorenzo" sheetId="2" state="visible" r:id="rId4"/>
    <sheet name="P3 - Pasqu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<sst xmlns="http://schemas.openxmlformats.org/spreadsheetml/2006/main" count="743" uniqueCount="97">
  <si>
    <t xml:space="preserve">DATOS ESTANDARIZADOS – M1 | Diseño de Servicios Públicos Interoperables | Canteño</t>
  </si>
  <si>
    <t xml:space="preserve">Semaforización CEPLAN (Resolución N° 0056-2024-Ceplan/PCD):   🟢 Verde [95–100]   |   🟡 Amarillo [75–95&gt;   |   🔴 Rojo [0–75&gt;</t>
  </si>
  <si>
    <t xml:space="preserve">CÓDIGO DE
PROCESO</t>
  </si>
  <si>
    <t xml:space="preserve">PROCESO</t>
  </si>
  <si>
    <t xml:space="preserve">INDICADOR</t>
  </si>
  <si>
    <t xml:space="preserve">META
(%)</t>
  </si>
  <si>
    <t xml:space="preserve">META
FINAL</t>
  </si>
  <si>
    <t xml:space="preserve">AÑO</t>
  </si>
  <si>
    <t xml:space="preserve">MES</t>
  </si>
  <si>
    <t xml:space="preserve">NUMERADOR
(cantidad)</t>
  </si>
  <si>
    <t xml:space="preserve">DENOMINADOR
(cantidad)</t>
  </si>
  <si>
    <t xml:space="preserve">RESULTADO
ESPERADO (%)</t>
  </si>
  <si>
    <t xml:space="preserve">RESULTADO
OBTENIDO (%)</t>
  </si>
  <si>
    <t xml:space="preserve">DIFERENCIA
(pp)</t>
  </si>
  <si>
    <t xml:space="preserve">AVANCE T1
(%)</t>
  </si>
  <si>
    <t xml:space="preserve">SEMÁFORO
CEPLAN</t>
  </si>
  <si>
    <t xml:space="preserve">M1.1</t>
  </si>
  <si>
    <t xml:space="preserve">Identificación de necesidades del servicio</t>
  </si>
  <si>
    <t xml:space="preserve">≥ 90%</t>
  </si>
  <si>
    <t xml:space="preserve">Enero</t>
  </si>
  <si>
    <t xml:space="preserve">Verde</t>
  </si>
  <si>
    <t xml:space="preserve">Febrero</t>
  </si>
  <si>
    <t xml:space="preserve">Marzo</t>
  </si>
  <si>
    <t xml:space="preserve">Abril</t>
  </si>
  <si>
    <t xml:space="preserve">Mayo</t>
  </si>
  <si>
    <t xml:space="preserve">M1.2</t>
  </si>
  <si>
    <t xml:space="preserve">Análisis del proceso actual</t>
  </si>
  <si>
    <t xml:space="preserve">≥ 95%</t>
  </si>
  <si>
    <t xml:space="preserve">Amarillo</t>
  </si>
  <si>
    <t xml:space="preserve">M1.3</t>
  </si>
  <si>
    <t xml:space="preserve">Diseño del servicio interoperable</t>
  </si>
  <si>
    <t xml:space="preserve">FÓRMULAS APLICADAS</t>
  </si>
  <si>
    <t xml:space="preserve">PORCENTAJE</t>
  </si>
  <si>
    <t xml:space="preserve">(NUMERADOR / DENOMINADOR) × 100</t>
  </si>
  <si>
    <t xml:space="preserve">AVANCE_T1</t>
  </si>
  <si>
    <t xml:space="preserve">min((RESULTADO_OBTENIDO / RESULTADO_ESPERADO) × 100 , 100)  — Directiva CEPLAN, indicador ascendente</t>
  </si>
  <si>
    <t xml:space="preserve">SEMAFORO CEPLAN</t>
  </si>
  <si>
    <t xml:space="preserve">Verde ≥ 95  |  Amarillo ≥ 75 y &lt; 95  |  Rojo &lt; 75  — Resolución N° 0056-2024-Ceplan/PCD</t>
  </si>
  <si>
    <t xml:space="preserve">Meses en azul</t>
  </si>
  <si>
    <t xml:space="preserve">Julio y Agosto = datos de proyección tras acción de mejora</t>
  </si>
  <si>
    <t xml:space="preserve">CODIGO_PROCESO</t>
  </si>
  <si>
    <t xml:space="preserve">PROCESOS</t>
  </si>
  <si>
    <t xml:space="preserve">META</t>
  </si>
  <si>
    <t xml:space="preserve">META_VALOR</t>
  </si>
  <si>
    <t xml:space="preserve">NUMERADOR</t>
  </si>
  <si>
    <t xml:space="preserve">DENOMINADOR</t>
  </si>
  <si>
    <t xml:space="preserve">RESULTADO_ESPERADO</t>
  </si>
  <si>
    <t xml:space="preserve">RESULTADO_OBTENIDO</t>
  </si>
  <si>
    <t xml:space="preserve">DIFERENCIA</t>
  </si>
  <si>
    <t xml:space="preserve">CUMPLE_MES</t>
  </si>
  <si>
    <t xml:space="preserve">M1</t>
  </si>
  <si>
    <t xml:space="preserve">Diseño de Servicios Públicos Interoperables</t>
  </si>
  <si>
    <t xml:space="preserve">SÍ</t>
  </si>
  <si>
    <t xml:space="preserve">NO</t>
  </si>
  <si>
    <t xml:space="preserve">M1.1.1</t>
  </si>
  <si>
    <t xml:space="preserve">Recolección de requerimientos</t>
  </si>
  <si>
    <t xml:space="preserve">M1.2.1</t>
  </si>
  <si>
    <t xml:space="preserve">Levantamiento del proceso actual (AS-IS)</t>
  </si>
  <si>
    <t xml:space="preserve">M1.3.2</t>
  </si>
  <si>
    <t xml:space="preserve">Diseño del flujo del proceso (TO-BE)</t>
  </si>
  <si>
    <t xml:space="preserve">DATOS ESTANDARIZADOS – M2 | Provisión e Intercambio de Servicios de Información | Daza Lorenzo</t>
  </si>
  <si>
    <t xml:space="preserve">M2.1</t>
  </si>
  <si>
    <t xml:space="preserve">Gestión de solicitudes de interoperabilidad</t>
  </si>
  <si>
    <t xml:space="preserve">M2.2</t>
  </si>
  <si>
    <t xml:space="preserve">Diseño y configuración de integración</t>
  </si>
  <si>
    <t xml:space="preserve">≤ 20</t>
  </si>
  <si>
    <t xml:space="preserve">M2.3</t>
  </si>
  <si>
    <t xml:space="preserve">Ejecución de pruebas de interoperabilidad</t>
  </si>
  <si>
    <t xml:space="preserve">SEMAFORO_CEPLAN</t>
  </si>
  <si>
    <t xml:space="preserve">AVANCE T1 – Descendente</t>
  </si>
  <si>
    <t xml:space="preserve">Si OBTENIDO ≤ ESPERADO → 100.  Si no: (ESPERADO / OBTENIDO) × 100.  Aplica a indicadores donde menor es mejor (ej: M2.2 ≤ 20 días).</t>
  </si>
  <si>
    <t xml:space="preserve">M2</t>
  </si>
  <si>
    <t xml:space="preserve">Provisión e Intercambio de Servicios de Información</t>
  </si>
  <si>
    <t xml:space="preserve">&lt;= 20</t>
  </si>
  <si>
    <t xml:space="preserve">M2.1.3</t>
  </si>
  <si>
    <t xml:space="preserve">Análisis de requerimientos</t>
  </si>
  <si>
    <t xml:space="preserve">M2.2.1</t>
  </si>
  <si>
    <t xml:space="preserve">Definición de arquitectura de integración</t>
  </si>
  <si>
    <t xml:space="preserve">M2.3.2</t>
  </si>
  <si>
    <t xml:space="preserve">Ejecución de pruebas técnicas</t>
  </si>
  <si>
    <t xml:space="preserve">DATOS ESTANDARIZADOS – M3 | Integración de Sistemas y Plataformas Interoperables | Pasquel Bustillos Jeik</t>
  </si>
  <si>
    <t xml:space="preserve">Semaforización CEPLAN (Resolución N° 0056-2024-Ceplan/PCD):   🟢 Verde [95–100] cumplimiento logrado   |   🟡 Amarillo [75–95&gt; desvío moderado   |   🔴 Rojo [0–75&gt; desvío alto</t>
  </si>
  <si>
    <t xml:space="preserve">META
FINAL (%)</t>
  </si>
  <si>
    <t xml:space="preserve">M3.1</t>
  </si>
  <si>
    <t xml:space="preserve">Análisis y Especificación de la Integración</t>
  </si>
  <si>
    <t xml:space="preserve">Tasa de completitud de requerimientos de integración</t>
  </si>
  <si>
    <t xml:space="preserve">≥ 85%</t>
  </si>
  <si>
    <t xml:space="preserve">Rojo</t>
  </si>
  <si>
    <t xml:space="preserve">Junio</t>
  </si>
  <si>
    <t xml:space="preserve">Julio</t>
  </si>
  <si>
    <t xml:space="preserve">Agosto</t>
  </si>
  <si>
    <t xml:space="preserve">M3.2</t>
  </si>
  <si>
    <t xml:space="preserve">Desarrollo y Configuración del Middleware/API</t>
  </si>
  <si>
    <t xml:space="preserve">Tasa de APIs desarrolladas a tiempo</t>
  </si>
  <si>
    <t xml:space="preserve">M3.3</t>
  </si>
  <si>
    <t xml:space="preserve">Pruebas y Aseguramiento de Interoperabilidad</t>
  </si>
  <si>
    <t xml:space="preserve">Porcentaje de pruebas de integración exitosas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</si>
</sst>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8"/>
      <color rgb="FF37474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sz val="9"/>
      <color theme="1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9"/>
      <color theme="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37474F"/>
      <name val="Arial"/>
      <family val="0"/>
      <charset val="1"/>
    </font>
    <font>
      <sz val="8"/>
      <color rgb="FF546E7A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8"/>
      <color rgb="FF1E3A5F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E3A5F"/>
        <bgColor rgb="FF37474F"/>
      </patternFill>
    </fill>
    <fill>
      <patternFill patternType="solid">
        <fgColor rgb="FFE8EAF6"/>
        <bgColor rgb="FFECEFF1"/>
      </patternFill>
    </fill>
    <fill>
      <patternFill patternType="solid">
        <fgColor rgb="FF2E6DA4"/>
        <bgColor rgb="FF546E7A"/>
      </patternFill>
    </fill>
    <fill>
      <patternFill patternType="solid">
        <fgColor rgb="FFF2F2F2"/>
        <bgColor rgb="FFECEFF1"/>
      </patternFill>
    </fill>
    <fill>
      <patternFill patternType="solid">
        <fgColor rgb="FFA5D6A7"/>
        <bgColor rgb="FF99CCFF"/>
      </patternFill>
    </fill>
    <fill>
      <patternFill patternType="solid">
        <fgColor rgb="FFFFFFFF"/>
        <bgColor rgb="FFF2F2F2"/>
      </patternFill>
    </fill>
    <fill>
      <patternFill patternType="solid">
        <fgColor rgb="FFFFF59D"/>
        <bgColor rgb="FFF2F2F2"/>
      </patternFill>
    </fill>
    <fill>
      <patternFill patternType="solid">
        <fgColor rgb="FFECEFF1"/>
        <bgColor rgb="FFF2F2F2"/>
      </patternFill>
    </fill>
    <fill>
      <patternFill patternType="solid">
        <fgColor rgb="FFEF9A9A"/>
        <bgColor rgb="FFFF8080"/>
      </patternFill>
    </fill>
    <fill>
      <patternFill patternType="solid">
        <fgColor rgb="FFBBDEFB"/>
        <bgColor rgb="FF99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8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9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1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5D6A7"/>
      <rgbColor rgb="FF808080"/>
      <rgbColor rgb="FF9999FF"/>
      <rgbColor rgb="FF993366"/>
      <rgbColor rgb="FFF2F2F2"/>
      <rgbColor rgb="FFECEFF1"/>
      <rgbColor rgb="FF660066"/>
      <rgbColor rgb="FFFF8080"/>
      <rgbColor rgb="FF2E6DA4"/>
      <rgbColor rgb="FFBBDE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AF6"/>
      <rgbColor rgb="FFCCFFCC"/>
      <rgbColor rgb="FFFFF59D"/>
      <rgbColor rgb="FF99CCFF"/>
      <rgbColor rgb="FFEF9A9A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46E7A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37474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2" min="2" style="1" width="34.63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</row>
    <row r="4" customFormat="false" ht="15.75" hidden="false" customHeight="true" outlineLevel="0" collapsed="false">
      <c r="A4" s="5" t="s">
        <v>16</v>
      </c>
      <c r="B4" s="6" t="s">
        <v>17</v>
      </c>
      <c r="C4" s="7"/>
      <c r="D4" s="5" t="s">
        <v>18</v>
      </c>
      <c r="E4" s="5" t="n">
        <v>90</v>
      </c>
      <c r="F4" s="5" t="n">
        <v>2026</v>
      </c>
      <c r="G4" s="5" t="s">
        <v>19</v>
      </c>
      <c r="H4" s="5" t="n">
        <v>4</v>
      </c>
      <c r="I4" s="5" t="n">
        <v>25</v>
      </c>
      <c r="J4" s="5" t="n">
        <v>15</v>
      </c>
      <c r="K4" s="8" t="n">
        <v>16</v>
      </c>
      <c r="L4" s="8" t="n">
        <v>1</v>
      </c>
      <c r="M4" s="9" t="n">
        <v>100</v>
      </c>
      <c r="N4" s="10" t="s">
        <v>20</v>
      </c>
    </row>
    <row r="5" customFormat="false" ht="15.75" hidden="false" customHeight="true" outlineLevel="0" collapsed="false">
      <c r="A5" s="11" t="s">
        <v>16</v>
      </c>
      <c r="B5" s="12" t="s">
        <v>17</v>
      </c>
      <c r="C5" s="13"/>
      <c r="D5" s="11" t="s">
        <v>18</v>
      </c>
      <c r="E5" s="11" t="n">
        <v>90</v>
      </c>
      <c r="F5" s="11" t="n">
        <v>2026</v>
      </c>
      <c r="G5" s="11" t="s">
        <v>21</v>
      </c>
      <c r="H5" s="11" t="n">
        <v>7</v>
      </c>
      <c r="I5" s="11" t="n">
        <v>26</v>
      </c>
      <c r="J5" s="11" t="n">
        <v>25</v>
      </c>
      <c r="K5" s="14" t="n">
        <v>27</v>
      </c>
      <c r="L5" s="14" t="n">
        <v>2</v>
      </c>
      <c r="M5" s="9" t="n">
        <v>100</v>
      </c>
      <c r="N5" s="10" t="s">
        <v>20</v>
      </c>
    </row>
    <row r="6" customFormat="false" ht="15.75" hidden="false" customHeight="true" outlineLevel="0" collapsed="false">
      <c r="A6" s="5" t="s">
        <v>16</v>
      </c>
      <c r="B6" s="6" t="s">
        <v>17</v>
      </c>
      <c r="C6" s="7"/>
      <c r="D6" s="5" t="s">
        <v>18</v>
      </c>
      <c r="E6" s="5" t="n">
        <v>90</v>
      </c>
      <c r="F6" s="5" t="n">
        <v>2026</v>
      </c>
      <c r="G6" s="5" t="s">
        <v>22</v>
      </c>
      <c r="H6" s="5" t="n">
        <v>14</v>
      </c>
      <c r="I6" s="5" t="n">
        <v>30</v>
      </c>
      <c r="J6" s="5" t="n">
        <v>45</v>
      </c>
      <c r="K6" s="8" t="n">
        <v>46</v>
      </c>
      <c r="L6" s="8" t="n">
        <v>1</v>
      </c>
      <c r="M6" s="9" t="n">
        <v>100</v>
      </c>
      <c r="N6" s="10" t="s">
        <v>20</v>
      </c>
    </row>
    <row r="7" customFormat="false" ht="15.75" hidden="false" customHeight="true" outlineLevel="0" collapsed="false">
      <c r="A7" s="11" t="s">
        <v>16</v>
      </c>
      <c r="B7" s="12" t="s">
        <v>17</v>
      </c>
      <c r="C7" s="13"/>
      <c r="D7" s="11" t="s">
        <v>18</v>
      </c>
      <c r="E7" s="11" t="n">
        <v>90</v>
      </c>
      <c r="F7" s="11" t="n">
        <v>2026</v>
      </c>
      <c r="G7" s="11" t="s">
        <v>23</v>
      </c>
      <c r="H7" s="11" t="n">
        <v>20</v>
      </c>
      <c r="I7" s="11" t="n">
        <v>32</v>
      </c>
      <c r="J7" s="11" t="n">
        <v>60</v>
      </c>
      <c r="K7" s="14" t="n">
        <v>62</v>
      </c>
      <c r="L7" s="14" t="n">
        <v>2</v>
      </c>
      <c r="M7" s="9" t="n">
        <v>100</v>
      </c>
      <c r="N7" s="10" t="s">
        <v>20</v>
      </c>
    </row>
    <row r="8" customFormat="false" ht="15.75" hidden="false" customHeight="true" outlineLevel="0" collapsed="false">
      <c r="A8" s="5" t="s">
        <v>16</v>
      </c>
      <c r="B8" s="6" t="s">
        <v>17</v>
      </c>
      <c r="C8" s="7"/>
      <c r="D8" s="5" t="s">
        <v>18</v>
      </c>
      <c r="E8" s="5" t="n">
        <v>90</v>
      </c>
      <c r="F8" s="5" t="n">
        <v>2026</v>
      </c>
      <c r="G8" s="5" t="s">
        <v>24</v>
      </c>
      <c r="H8" s="5" t="n">
        <v>25</v>
      </c>
      <c r="I8" s="5" t="n">
        <v>32</v>
      </c>
      <c r="J8" s="5" t="n">
        <v>75</v>
      </c>
      <c r="K8" s="8" t="n">
        <v>77</v>
      </c>
      <c r="L8" s="8" t="n">
        <v>2</v>
      </c>
      <c r="M8" s="9" t="n">
        <v>100</v>
      </c>
      <c r="N8" s="10" t="s">
        <v>20</v>
      </c>
    </row>
    <row r="9" customFormat="false" ht="15.75" hidden="false" customHeight="true" outlineLevel="0" collapsed="false">
      <c r="A9" s="11" t="s">
        <v>25</v>
      </c>
      <c r="B9" s="12" t="s">
        <v>26</v>
      </c>
      <c r="C9" s="13"/>
      <c r="D9" s="11" t="s">
        <v>27</v>
      </c>
      <c r="E9" s="11" t="n">
        <v>95</v>
      </c>
      <c r="F9" s="11" t="n">
        <v>2026</v>
      </c>
      <c r="G9" s="11" t="s">
        <v>19</v>
      </c>
      <c r="H9" s="11" t="n">
        <v>2</v>
      </c>
      <c r="I9" s="11" t="n">
        <v>18</v>
      </c>
      <c r="J9" s="11" t="n">
        <v>10</v>
      </c>
      <c r="K9" s="14" t="n">
        <v>11</v>
      </c>
      <c r="L9" s="14" t="n">
        <v>1</v>
      </c>
      <c r="M9" s="9" t="n">
        <v>100</v>
      </c>
      <c r="N9" s="10" t="s">
        <v>20</v>
      </c>
    </row>
    <row r="10" customFormat="false" ht="15.75" hidden="false" customHeight="true" outlineLevel="0" collapsed="false">
      <c r="A10" s="5" t="s">
        <v>25</v>
      </c>
      <c r="B10" s="6" t="s">
        <v>26</v>
      </c>
      <c r="C10" s="7"/>
      <c r="D10" s="5" t="s">
        <v>27</v>
      </c>
      <c r="E10" s="5" t="n">
        <v>95</v>
      </c>
      <c r="F10" s="5" t="n">
        <v>2026</v>
      </c>
      <c r="G10" s="5" t="s">
        <v>21</v>
      </c>
      <c r="H10" s="5" t="n">
        <v>4</v>
      </c>
      <c r="I10" s="5" t="n">
        <v>18</v>
      </c>
      <c r="J10" s="5" t="n">
        <v>25</v>
      </c>
      <c r="K10" s="8" t="n">
        <v>22</v>
      </c>
      <c r="L10" s="8" t="n">
        <v>-3</v>
      </c>
      <c r="M10" s="15" t="n">
        <v>88</v>
      </c>
      <c r="N10" s="16" t="s">
        <v>28</v>
      </c>
    </row>
    <row r="11" customFormat="false" ht="15.75" hidden="false" customHeight="true" outlineLevel="0" collapsed="false">
      <c r="A11" s="11" t="s">
        <v>25</v>
      </c>
      <c r="B11" s="12" t="s">
        <v>26</v>
      </c>
      <c r="C11" s="13"/>
      <c r="D11" s="11" t="s">
        <v>27</v>
      </c>
      <c r="E11" s="11" t="n">
        <v>95</v>
      </c>
      <c r="F11" s="11" t="n">
        <v>2026</v>
      </c>
      <c r="G11" s="11" t="s">
        <v>22</v>
      </c>
      <c r="H11" s="11" t="n">
        <v>10</v>
      </c>
      <c r="I11" s="11" t="n">
        <v>21</v>
      </c>
      <c r="J11" s="11" t="n">
        <v>45</v>
      </c>
      <c r="K11" s="14" t="n">
        <v>47</v>
      </c>
      <c r="L11" s="14" t="n">
        <v>2</v>
      </c>
      <c r="M11" s="9" t="n">
        <v>100</v>
      </c>
      <c r="N11" s="10" t="s">
        <v>20</v>
      </c>
    </row>
    <row r="12" customFormat="false" ht="15.75" hidden="false" customHeight="true" outlineLevel="0" collapsed="false">
      <c r="A12" s="5" t="s">
        <v>25</v>
      </c>
      <c r="B12" s="6" t="s">
        <v>26</v>
      </c>
      <c r="C12" s="7"/>
      <c r="D12" s="5" t="s">
        <v>27</v>
      </c>
      <c r="E12" s="5" t="n">
        <v>95</v>
      </c>
      <c r="F12" s="5" t="n">
        <v>2026</v>
      </c>
      <c r="G12" s="5" t="s">
        <v>23</v>
      </c>
      <c r="H12" s="5" t="n">
        <v>13</v>
      </c>
      <c r="I12" s="5" t="n">
        <v>23</v>
      </c>
      <c r="J12" s="5" t="n">
        <v>60</v>
      </c>
      <c r="K12" s="8" t="n">
        <v>56</v>
      </c>
      <c r="L12" s="8" t="n">
        <v>-4</v>
      </c>
      <c r="M12" s="15" t="n">
        <v>93.3</v>
      </c>
      <c r="N12" s="16" t="s">
        <v>28</v>
      </c>
    </row>
    <row r="13" customFormat="false" ht="15.75" hidden="false" customHeight="true" outlineLevel="0" collapsed="false">
      <c r="A13" s="11" t="s">
        <v>25</v>
      </c>
      <c r="B13" s="12" t="s">
        <v>26</v>
      </c>
      <c r="C13" s="13"/>
      <c r="D13" s="11" t="s">
        <v>27</v>
      </c>
      <c r="E13" s="11" t="n">
        <v>95</v>
      </c>
      <c r="F13" s="11" t="n">
        <v>2026</v>
      </c>
      <c r="G13" s="11" t="s">
        <v>24</v>
      </c>
      <c r="H13" s="11" t="n">
        <v>19</v>
      </c>
      <c r="I13" s="11" t="n">
        <v>23</v>
      </c>
      <c r="J13" s="11" t="n">
        <v>85</v>
      </c>
      <c r="K13" s="14" t="n">
        <v>81</v>
      </c>
      <c r="L13" s="14" t="n">
        <v>-4</v>
      </c>
      <c r="M13" s="9" t="n">
        <v>95.3</v>
      </c>
      <c r="N13" s="10" t="s">
        <v>20</v>
      </c>
    </row>
    <row r="14" customFormat="false" ht="15.75" hidden="false" customHeight="true" outlineLevel="0" collapsed="false">
      <c r="A14" s="5" t="s">
        <v>29</v>
      </c>
      <c r="B14" s="6" t="s">
        <v>30</v>
      </c>
      <c r="C14" s="7"/>
      <c r="D14" s="5" t="s">
        <v>18</v>
      </c>
      <c r="E14" s="5" t="n">
        <v>90</v>
      </c>
      <c r="F14" s="5" t="n">
        <v>2026</v>
      </c>
      <c r="G14" s="5" t="s">
        <v>19</v>
      </c>
      <c r="H14" s="5" t="n">
        <v>2</v>
      </c>
      <c r="I14" s="5" t="n">
        <v>17</v>
      </c>
      <c r="J14" s="5" t="n">
        <v>10</v>
      </c>
      <c r="K14" s="8" t="n">
        <v>12</v>
      </c>
      <c r="L14" s="8" t="n">
        <v>2</v>
      </c>
      <c r="M14" s="9" t="n">
        <v>100</v>
      </c>
      <c r="N14" s="10" t="s">
        <v>20</v>
      </c>
    </row>
    <row r="15" customFormat="false" ht="15.75" hidden="false" customHeight="true" outlineLevel="0" collapsed="false">
      <c r="A15" s="11" t="s">
        <v>29</v>
      </c>
      <c r="B15" s="12" t="s">
        <v>30</v>
      </c>
      <c r="C15" s="13"/>
      <c r="D15" s="11" t="s">
        <v>18</v>
      </c>
      <c r="E15" s="11" t="n">
        <v>90</v>
      </c>
      <c r="F15" s="11" t="n">
        <v>2026</v>
      </c>
      <c r="G15" s="11" t="s">
        <v>21</v>
      </c>
      <c r="H15" s="11" t="n">
        <v>5</v>
      </c>
      <c r="I15" s="11" t="n">
        <v>19</v>
      </c>
      <c r="J15" s="11" t="n">
        <v>25</v>
      </c>
      <c r="K15" s="14" t="n">
        <v>26</v>
      </c>
      <c r="L15" s="14" t="n">
        <v>1</v>
      </c>
      <c r="M15" s="9" t="n">
        <v>100</v>
      </c>
      <c r="N15" s="10" t="s">
        <v>20</v>
      </c>
    </row>
    <row r="16" customFormat="false" ht="15.75" hidden="false" customHeight="true" outlineLevel="0" collapsed="false">
      <c r="A16" s="5" t="s">
        <v>29</v>
      </c>
      <c r="B16" s="6" t="s">
        <v>30</v>
      </c>
      <c r="C16" s="7"/>
      <c r="D16" s="5" t="s">
        <v>18</v>
      </c>
      <c r="E16" s="5" t="n">
        <v>90</v>
      </c>
      <c r="F16" s="5" t="n">
        <v>2026</v>
      </c>
      <c r="G16" s="5" t="s">
        <v>22</v>
      </c>
      <c r="H16" s="5" t="n">
        <v>10</v>
      </c>
      <c r="I16" s="5" t="n">
        <v>22</v>
      </c>
      <c r="J16" s="5" t="n">
        <v>45</v>
      </c>
      <c r="K16" s="8" t="n">
        <v>46</v>
      </c>
      <c r="L16" s="8" t="n">
        <v>1</v>
      </c>
      <c r="M16" s="9" t="n">
        <v>100</v>
      </c>
      <c r="N16" s="10" t="s">
        <v>20</v>
      </c>
    </row>
    <row r="17" customFormat="false" ht="15.75" hidden="false" customHeight="true" outlineLevel="0" collapsed="false">
      <c r="A17" s="11" t="s">
        <v>29</v>
      </c>
      <c r="B17" s="12" t="s">
        <v>30</v>
      </c>
      <c r="C17" s="13"/>
      <c r="D17" s="11" t="s">
        <v>18</v>
      </c>
      <c r="E17" s="11" t="n">
        <v>90</v>
      </c>
      <c r="F17" s="11" t="n">
        <v>2026</v>
      </c>
      <c r="G17" s="11" t="s">
        <v>23</v>
      </c>
      <c r="H17" s="11" t="n">
        <v>14</v>
      </c>
      <c r="I17" s="11" t="n">
        <v>23</v>
      </c>
      <c r="J17" s="11" t="n">
        <v>60</v>
      </c>
      <c r="K17" s="14" t="n">
        <v>61</v>
      </c>
      <c r="L17" s="14" t="n">
        <v>1</v>
      </c>
      <c r="M17" s="9" t="n">
        <v>100</v>
      </c>
      <c r="N17" s="10" t="s">
        <v>20</v>
      </c>
    </row>
    <row r="18" customFormat="false" ht="15.75" hidden="false" customHeight="true" outlineLevel="0" collapsed="false">
      <c r="A18" s="5" t="s">
        <v>29</v>
      </c>
      <c r="B18" s="6" t="s">
        <v>30</v>
      </c>
      <c r="C18" s="7"/>
      <c r="D18" s="5" t="s">
        <v>18</v>
      </c>
      <c r="E18" s="5" t="n">
        <v>90</v>
      </c>
      <c r="F18" s="5" t="n">
        <v>2026</v>
      </c>
      <c r="G18" s="5" t="s">
        <v>24</v>
      </c>
      <c r="H18" s="5" t="n">
        <v>19</v>
      </c>
      <c r="I18" s="5" t="n">
        <v>25</v>
      </c>
      <c r="J18" s="5" t="n">
        <v>75</v>
      </c>
      <c r="K18" s="8" t="n">
        <v>77</v>
      </c>
      <c r="L18" s="8" t="n">
        <v>2</v>
      </c>
      <c r="M18" s="9" t="n">
        <v>100</v>
      </c>
      <c r="N18" s="10" t="s">
        <v>20</v>
      </c>
    </row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>
      <c r="A21" s="17" t="s">
        <v>31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customFormat="false" ht="15.75" hidden="false" customHeight="true" outlineLevel="0" collapsed="false">
      <c r="A22" s="18" t="s">
        <v>32</v>
      </c>
      <c r="B22" s="19" t="s">
        <v>33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customFormat="false" ht="15.75" hidden="false" customHeight="true" outlineLevel="0" collapsed="false">
      <c r="A23" s="18" t="s">
        <v>34</v>
      </c>
      <c r="B23" s="19" t="s">
        <v>35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customFormat="false" ht="15.75" hidden="false" customHeight="true" outlineLevel="0" collapsed="false">
      <c r="A24" s="18" t="s">
        <v>36</v>
      </c>
      <c r="B24" s="19" t="s">
        <v>37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</row>
    <row r="25" customFormat="false" ht="15.75" hidden="false" customHeight="true" outlineLevel="0" collapsed="false">
      <c r="A25" s="18" t="s">
        <v>38</v>
      </c>
      <c r="B25" s="19" t="s">
        <v>39</v>
      </c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</row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>
      <c r="A43" s="20" t="s">
        <v>40</v>
      </c>
      <c r="B43" s="20" t="s">
        <v>41</v>
      </c>
      <c r="C43" s="20" t="s">
        <v>42</v>
      </c>
      <c r="D43" s="20" t="s">
        <v>43</v>
      </c>
      <c r="E43" s="20" t="s">
        <v>8</v>
      </c>
      <c r="F43" s="20" t="s">
        <v>44</v>
      </c>
      <c r="G43" s="20" t="s">
        <v>45</v>
      </c>
      <c r="H43" s="20" t="s">
        <v>46</v>
      </c>
      <c r="I43" s="20" t="s">
        <v>47</v>
      </c>
      <c r="J43" s="20" t="s">
        <v>48</v>
      </c>
      <c r="K43" s="20" t="s">
        <v>49</v>
      </c>
    </row>
    <row r="44" customFormat="false" ht="15.75" hidden="false" customHeight="true" outlineLevel="0" collapsed="false">
      <c r="A44" s="20" t="s">
        <v>50</v>
      </c>
      <c r="B44" s="20" t="s">
        <v>51</v>
      </c>
      <c r="C44" s="20" t="s">
        <v>18</v>
      </c>
      <c r="D44" s="20" t="n">
        <v>90</v>
      </c>
      <c r="E44" s="20" t="s">
        <v>19</v>
      </c>
      <c r="F44" s="20" t="n">
        <v>4</v>
      </c>
      <c r="G44" s="20" t="n">
        <v>24</v>
      </c>
      <c r="H44" s="20" t="n">
        <v>15</v>
      </c>
      <c r="I44" s="20" t="n">
        <v>17</v>
      </c>
      <c r="J44" s="20" t="n">
        <v>2</v>
      </c>
      <c r="K44" s="20" t="s">
        <v>52</v>
      </c>
    </row>
    <row r="45" customFormat="false" ht="15.75" hidden="false" customHeight="true" outlineLevel="0" collapsed="false">
      <c r="A45" s="20" t="s">
        <v>50</v>
      </c>
      <c r="B45" s="20" t="s">
        <v>51</v>
      </c>
      <c r="C45" s="20" t="s">
        <v>18</v>
      </c>
      <c r="D45" s="20" t="n">
        <v>90</v>
      </c>
      <c r="E45" s="20" t="s">
        <v>21</v>
      </c>
      <c r="F45" s="20" t="n">
        <v>6</v>
      </c>
      <c r="G45" s="20" t="n">
        <v>23</v>
      </c>
      <c r="H45" s="20" t="n">
        <v>25</v>
      </c>
      <c r="I45" s="20" t="n">
        <v>26</v>
      </c>
      <c r="J45" s="20" t="n">
        <v>1</v>
      </c>
      <c r="K45" s="20" t="s">
        <v>52</v>
      </c>
    </row>
    <row r="46" customFormat="false" ht="15.75" hidden="false" customHeight="true" outlineLevel="0" collapsed="false">
      <c r="A46" s="20" t="s">
        <v>50</v>
      </c>
      <c r="B46" s="20" t="s">
        <v>51</v>
      </c>
      <c r="C46" s="20" t="s">
        <v>18</v>
      </c>
      <c r="D46" s="20" t="n">
        <v>90</v>
      </c>
      <c r="E46" s="20" t="s">
        <v>22</v>
      </c>
      <c r="F46" s="20" t="n">
        <v>10</v>
      </c>
      <c r="G46" s="20" t="n">
        <v>25</v>
      </c>
      <c r="H46" s="20" t="n">
        <v>45</v>
      </c>
      <c r="I46" s="20" t="n">
        <v>40</v>
      </c>
      <c r="J46" s="20" t="n">
        <v>-5</v>
      </c>
      <c r="K46" s="20" t="s">
        <v>53</v>
      </c>
    </row>
    <row r="47" customFormat="false" ht="15.75" hidden="false" customHeight="true" outlineLevel="0" collapsed="false">
      <c r="A47" s="20" t="s">
        <v>50</v>
      </c>
      <c r="B47" s="20" t="s">
        <v>51</v>
      </c>
      <c r="C47" s="20" t="s">
        <v>18</v>
      </c>
      <c r="D47" s="20" t="n">
        <v>90</v>
      </c>
      <c r="E47" s="20" t="s">
        <v>23</v>
      </c>
      <c r="F47" s="20" t="n">
        <v>15</v>
      </c>
      <c r="G47" s="20" t="n">
        <v>27</v>
      </c>
      <c r="H47" s="20" t="n">
        <v>60</v>
      </c>
      <c r="I47" s="20" t="n">
        <v>55</v>
      </c>
      <c r="J47" s="20" t="n">
        <v>-5</v>
      </c>
      <c r="K47" s="20" t="s">
        <v>53</v>
      </c>
    </row>
    <row r="48" customFormat="false" ht="15.75" hidden="false" customHeight="true" outlineLevel="0" collapsed="false">
      <c r="A48" s="20" t="s">
        <v>50</v>
      </c>
      <c r="B48" s="20" t="s">
        <v>51</v>
      </c>
      <c r="C48" s="20" t="s">
        <v>18</v>
      </c>
      <c r="D48" s="20" t="n">
        <v>90</v>
      </c>
      <c r="E48" s="20" t="s">
        <v>24</v>
      </c>
      <c r="F48" s="20" t="n">
        <v>22</v>
      </c>
      <c r="G48" s="20" t="n">
        <v>28</v>
      </c>
      <c r="H48" s="20" t="n">
        <v>75</v>
      </c>
      <c r="I48" s="20" t="n">
        <v>78</v>
      </c>
      <c r="J48" s="20" t="n">
        <v>3</v>
      </c>
      <c r="K48" s="20" t="s">
        <v>52</v>
      </c>
    </row>
    <row r="49" customFormat="false" ht="15.75" hidden="false" customHeight="true" outlineLevel="0" collapsed="false">
      <c r="A49" s="20" t="s">
        <v>16</v>
      </c>
      <c r="B49" s="20" t="s">
        <v>17</v>
      </c>
      <c r="C49" s="20" t="s">
        <v>18</v>
      </c>
      <c r="D49" s="20" t="n">
        <v>90</v>
      </c>
      <c r="E49" s="20" t="s">
        <v>19</v>
      </c>
      <c r="F49" s="20" t="n">
        <v>4</v>
      </c>
      <c r="G49" s="20" t="n">
        <v>25</v>
      </c>
      <c r="H49" s="20" t="n">
        <v>15</v>
      </c>
      <c r="I49" s="20" t="n">
        <v>16</v>
      </c>
      <c r="J49" s="20" t="n">
        <v>1</v>
      </c>
      <c r="K49" s="20" t="s">
        <v>52</v>
      </c>
    </row>
    <row r="50" customFormat="false" ht="15.75" hidden="false" customHeight="true" outlineLevel="0" collapsed="false">
      <c r="A50" s="20" t="s">
        <v>16</v>
      </c>
      <c r="B50" s="20" t="s">
        <v>17</v>
      </c>
      <c r="C50" s="20" t="s">
        <v>18</v>
      </c>
      <c r="D50" s="20" t="n">
        <v>90</v>
      </c>
      <c r="E50" s="20" t="s">
        <v>21</v>
      </c>
      <c r="F50" s="20" t="n">
        <v>7</v>
      </c>
      <c r="G50" s="20" t="n">
        <v>26</v>
      </c>
      <c r="H50" s="20" t="n">
        <v>25</v>
      </c>
      <c r="I50" s="20" t="n">
        <v>27</v>
      </c>
      <c r="J50" s="20" t="n">
        <v>2</v>
      </c>
      <c r="K50" s="20" t="s">
        <v>52</v>
      </c>
    </row>
    <row r="51" customFormat="false" ht="15.75" hidden="false" customHeight="true" outlineLevel="0" collapsed="false">
      <c r="A51" s="20" t="s">
        <v>16</v>
      </c>
      <c r="B51" s="20" t="s">
        <v>17</v>
      </c>
      <c r="C51" s="20" t="s">
        <v>18</v>
      </c>
      <c r="D51" s="20" t="n">
        <v>90</v>
      </c>
      <c r="E51" s="20" t="s">
        <v>22</v>
      </c>
      <c r="F51" s="20" t="n">
        <v>14</v>
      </c>
      <c r="G51" s="20" t="n">
        <v>30</v>
      </c>
      <c r="H51" s="20" t="n">
        <v>45</v>
      </c>
      <c r="I51" s="20" t="n">
        <v>46</v>
      </c>
      <c r="J51" s="20" t="n">
        <v>1</v>
      </c>
      <c r="K51" s="20" t="s">
        <v>52</v>
      </c>
    </row>
    <row r="52" customFormat="false" ht="15.75" hidden="false" customHeight="true" outlineLevel="0" collapsed="false">
      <c r="A52" s="20" t="s">
        <v>16</v>
      </c>
      <c r="B52" s="20" t="s">
        <v>17</v>
      </c>
      <c r="C52" s="20" t="s">
        <v>18</v>
      </c>
      <c r="D52" s="20" t="n">
        <v>90</v>
      </c>
      <c r="E52" s="20" t="s">
        <v>23</v>
      </c>
      <c r="F52" s="20" t="n">
        <v>20</v>
      </c>
      <c r="G52" s="20" t="n">
        <v>32</v>
      </c>
      <c r="H52" s="20" t="n">
        <v>60</v>
      </c>
      <c r="I52" s="20" t="n">
        <v>62</v>
      </c>
      <c r="J52" s="20" t="n">
        <v>2</v>
      </c>
      <c r="K52" s="20" t="s">
        <v>52</v>
      </c>
    </row>
    <row r="53" customFormat="false" ht="15.75" hidden="false" customHeight="true" outlineLevel="0" collapsed="false">
      <c r="A53" s="20" t="s">
        <v>16</v>
      </c>
      <c r="B53" s="20" t="s">
        <v>17</v>
      </c>
      <c r="C53" s="20" t="s">
        <v>18</v>
      </c>
      <c r="D53" s="20" t="n">
        <v>90</v>
      </c>
      <c r="E53" s="20" t="s">
        <v>24</v>
      </c>
      <c r="F53" s="20" t="n">
        <v>25</v>
      </c>
      <c r="G53" s="20" t="n">
        <v>32</v>
      </c>
      <c r="H53" s="20" t="n">
        <v>75</v>
      </c>
      <c r="I53" s="20" t="n">
        <v>77</v>
      </c>
      <c r="J53" s="20" t="n">
        <v>2</v>
      </c>
      <c r="K53" s="20" t="s">
        <v>52</v>
      </c>
    </row>
    <row r="54" customFormat="false" ht="15.75" hidden="false" customHeight="true" outlineLevel="0" collapsed="false">
      <c r="A54" s="20" t="s">
        <v>25</v>
      </c>
      <c r="B54" s="20" t="s">
        <v>26</v>
      </c>
      <c r="C54" s="20" t="s">
        <v>27</v>
      </c>
      <c r="D54" s="20" t="n">
        <v>95</v>
      </c>
      <c r="E54" s="20" t="s">
        <v>19</v>
      </c>
      <c r="F54" s="20" t="n">
        <v>2</v>
      </c>
      <c r="G54" s="20" t="n">
        <v>18</v>
      </c>
      <c r="H54" s="20" t="n">
        <v>10</v>
      </c>
      <c r="I54" s="20" t="n">
        <v>11</v>
      </c>
      <c r="J54" s="20" t="n">
        <v>1</v>
      </c>
      <c r="K54" s="20" t="s">
        <v>52</v>
      </c>
    </row>
    <row r="55" customFormat="false" ht="15.75" hidden="false" customHeight="true" outlineLevel="0" collapsed="false">
      <c r="A55" s="20" t="s">
        <v>25</v>
      </c>
      <c r="B55" s="20" t="s">
        <v>26</v>
      </c>
      <c r="C55" s="20" t="s">
        <v>27</v>
      </c>
      <c r="D55" s="20" t="n">
        <v>95</v>
      </c>
      <c r="E55" s="20" t="s">
        <v>21</v>
      </c>
      <c r="F55" s="20" t="n">
        <v>4</v>
      </c>
      <c r="G55" s="20" t="n">
        <v>18</v>
      </c>
      <c r="H55" s="20" t="n">
        <v>25</v>
      </c>
      <c r="I55" s="20" t="n">
        <v>22</v>
      </c>
      <c r="J55" s="20" t="n">
        <v>-3</v>
      </c>
      <c r="K55" s="20" t="s">
        <v>53</v>
      </c>
    </row>
    <row r="56" customFormat="false" ht="15.75" hidden="false" customHeight="true" outlineLevel="0" collapsed="false">
      <c r="A56" s="20" t="s">
        <v>25</v>
      </c>
      <c r="B56" s="20" t="s">
        <v>26</v>
      </c>
      <c r="C56" s="20" t="s">
        <v>27</v>
      </c>
      <c r="D56" s="20" t="n">
        <v>95</v>
      </c>
      <c r="E56" s="20" t="s">
        <v>22</v>
      </c>
      <c r="F56" s="20" t="n">
        <v>10</v>
      </c>
      <c r="G56" s="20" t="n">
        <v>21</v>
      </c>
      <c r="H56" s="20" t="n">
        <v>45</v>
      </c>
      <c r="I56" s="20" t="n">
        <v>47</v>
      </c>
      <c r="J56" s="20" t="n">
        <v>2</v>
      </c>
      <c r="K56" s="20" t="s">
        <v>52</v>
      </c>
    </row>
    <row r="57" customFormat="false" ht="15.75" hidden="false" customHeight="true" outlineLevel="0" collapsed="false">
      <c r="A57" s="20" t="s">
        <v>25</v>
      </c>
      <c r="B57" s="20" t="s">
        <v>26</v>
      </c>
      <c r="C57" s="20" t="s">
        <v>27</v>
      </c>
      <c r="D57" s="20" t="n">
        <v>95</v>
      </c>
      <c r="E57" s="20" t="s">
        <v>23</v>
      </c>
      <c r="F57" s="20" t="n">
        <v>13</v>
      </c>
      <c r="G57" s="20" t="n">
        <v>23</v>
      </c>
      <c r="H57" s="20" t="n">
        <v>60</v>
      </c>
      <c r="I57" s="20" t="n">
        <v>56</v>
      </c>
      <c r="J57" s="20" t="n">
        <v>-4</v>
      </c>
      <c r="K57" s="20" t="s">
        <v>53</v>
      </c>
    </row>
    <row r="58" customFormat="false" ht="15.75" hidden="false" customHeight="true" outlineLevel="0" collapsed="false">
      <c r="A58" s="20" t="s">
        <v>25</v>
      </c>
      <c r="B58" s="20" t="s">
        <v>26</v>
      </c>
      <c r="C58" s="20" t="s">
        <v>27</v>
      </c>
      <c r="D58" s="20" t="n">
        <v>95</v>
      </c>
      <c r="E58" s="20" t="s">
        <v>24</v>
      </c>
      <c r="F58" s="20" t="n">
        <v>19</v>
      </c>
      <c r="G58" s="20" t="n">
        <v>23</v>
      </c>
      <c r="H58" s="20" t="n">
        <v>85</v>
      </c>
      <c r="I58" s="20" t="n">
        <v>81</v>
      </c>
      <c r="J58" s="20" t="n">
        <v>-4</v>
      </c>
      <c r="K58" s="20" t="s">
        <v>53</v>
      </c>
    </row>
    <row r="59" customFormat="false" ht="15.75" hidden="false" customHeight="true" outlineLevel="0" collapsed="false">
      <c r="A59" s="20" t="s">
        <v>29</v>
      </c>
      <c r="B59" s="20" t="s">
        <v>30</v>
      </c>
      <c r="C59" s="20" t="s">
        <v>18</v>
      </c>
      <c r="D59" s="20" t="n">
        <v>90</v>
      </c>
      <c r="E59" s="20" t="s">
        <v>19</v>
      </c>
      <c r="F59" s="20" t="n">
        <v>2</v>
      </c>
      <c r="G59" s="20" t="n">
        <v>17</v>
      </c>
      <c r="H59" s="20" t="n">
        <v>10</v>
      </c>
      <c r="I59" s="20" t="n">
        <v>12</v>
      </c>
      <c r="J59" s="20" t="n">
        <v>2</v>
      </c>
      <c r="K59" s="20" t="s">
        <v>52</v>
      </c>
    </row>
    <row r="60" customFormat="false" ht="15.75" hidden="false" customHeight="true" outlineLevel="0" collapsed="false">
      <c r="A60" s="20" t="s">
        <v>29</v>
      </c>
      <c r="B60" s="20" t="s">
        <v>30</v>
      </c>
      <c r="C60" s="20" t="s">
        <v>18</v>
      </c>
      <c r="D60" s="20" t="n">
        <v>90</v>
      </c>
      <c r="E60" s="20" t="s">
        <v>21</v>
      </c>
      <c r="F60" s="20" t="n">
        <v>5</v>
      </c>
      <c r="G60" s="20" t="n">
        <v>19</v>
      </c>
      <c r="H60" s="20" t="n">
        <v>25</v>
      </c>
      <c r="I60" s="20" t="n">
        <v>26</v>
      </c>
      <c r="J60" s="20" t="n">
        <v>1</v>
      </c>
      <c r="K60" s="20" t="s">
        <v>52</v>
      </c>
    </row>
    <row r="61" customFormat="false" ht="15.75" hidden="false" customHeight="true" outlineLevel="0" collapsed="false">
      <c r="A61" s="20" t="s">
        <v>29</v>
      </c>
      <c r="B61" s="20" t="s">
        <v>30</v>
      </c>
      <c r="C61" s="20" t="s">
        <v>18</v>
      </c>
      <c r="D61" s="20" t="n">
        <v>90</v>
      </c>
      <c r="E61" s="20" t="s">
        <v>22</v>
      </c>
      <c r="F61" s="20" t="n">
        <v>10</v>
      </c>
      <c r="G61" s="20" t="n">
        <v>22</v>
      </c>
      <c r="H61" s="20" t="n">
        <v>45</v>
      </c>
      <c r="I61" s="20" t="n">
        <v>46</v>
      </c>
      <c r="J61" s="20" t="n">
        <v>1</v>
      </c>
      <c r="K61" s="20" t="s">
        <v>52</v>
      </c>
    </row>
    <row r="62" customFormat="false" ht="15.75" hidden="false" customHeight="true" outlineLevel="0" collapsed="false">
      <c r="A62" s="20" t="s">
        <v>29</v>
      </c>
      <c r="B62" s="20" t="s">
        <v>30</v>
      </c>
      <c r="C62" s="20" t="s">
        <v>18</v>
      </c>
      <c r="D62" s="20" t="n">
        <v>90</v>
      </c>
      <c r="E62" s="20" t="s">
        <v>23</v>
      </c>
      <c r="F62" s="20" t="n">
        <v>14</v>
      </c>
      <c r="G62" s="20" t="n">
        <v>23</v>
      </c>
      <c r="H62" s="20" t="n">
        <v>60</v>
      </c>
      <c r="I62" s="20" t="n">
        <v>61</v>
      </c>
      <c r="J62" s="20" t="n">
        <v>1</v>
      </c>
      <c r="K62" s="20" t="s">
        <v>52</v>
      </c>
    </row>
    <row r="63" customFormat="false" ht="15.75" hidden="false" customHeight="true" outlineLevel="0" collapsed="false">
      <c r="A63" s="20" t="s">
        <v>29</v>
      </c>
      <c r="B63" s="20" t="s">
        <v>30</v>
      </c>
      <c r="C63" s="20" t="s">
        <v>18</v>
      </c>
      <c r="D63" s="20" t="n">
        <v>90</v>
      </c>
      <c r="E63" s="20" t="s">
        <v>24</v>
      </c>
      <c r="F63" s="20" t="n">
        <v>19</v>
      </c>
      <c r="G63" s="20" t="n">
        <v>25</v>
      </c>
      <c r="H63" s="20" t="n">
        <v>75</v>
      </c>
      <c r="I63" s="20" t="n">
        <v>77</v>
      </c>
      <c r="J63" s="20" t="n">
        <v>2</v>
      </c>
      <c r="K63" s="20" t="s">
        <v>52</v>
      </c>
    </row>
    <row r="64" customFormat="false" ht="15.75" hidden="false" customHeight="true" outlineLevel="0" collapsed="false">
      <c r="A64" s="20" t="s">
        <v>54</v>
      </c>
      <c r="B64" s="20" t="s">
        <v>55</v>
      </c>
      <c r="C64" s="20" t="s">
        <v>27</v>
      </c>
      <c r="D64" s="20" t="n">
        <v>95</v>
      </c>
      <c r="E64" s="20" t="s">
        <v>19</v>
      </c>
      <c r="F64" s="20" t="n">
        <v>4</v>
      </c>
      <c r="G64" s="20" t="n">
        <v>25</v>
      </c>
      <c r="H64" s="20" t="n">
        <v>15</v>
      </c>
      <c r="I64" s="20" t="n">
        <v>16</v>
      </c>
      <c r="J64" s="20" t="n">
        <v>1</v>
      </c>
      <c r="K64" s="20" t="s">
        <v>52</v>
      </c>
    </row>
    <row r="65" customFormat="false" ht="15.75" hidden="false" customHeight="true" outlineLevel="0" collapsed="false">
      <c r="A65" s="20" t="s">
        <v>54</v>
      </c>
      <c r="B65" s="20" t="s">
        <v>55</v>
      </c>
      <c r="C65" s="20" t="s">
        <v>27</v>
      </c>
      <c r="D65" s="20" t="n">
        <v>95</v>
      </c>
      <c r="E65" s="20" t="s">
        <v>21</v>
      </c>
      <c r="F65" s="20" t="n">
        <v>7</v>
      </c>
      <c r="G65" s="20" t="n">
        <v>27</v>
      </c>
      <c r="H65" s="20" t="n">
        <v>25</v>
      </c>
      <c r="I65" s="20" t="n">
        <v>26</v>
      </c>
      <c r="J65" s="20" t="n">
        <v>1</v>
      </c>
      <c r="K65" s="20" t="s">
        <v>52</v>
      </c>
    </row>
    <row r="66" customFormat="false" ht="15.75" hidden="false" customHeight="true" outlineLevel="0" collapsed="false">
      <c r="A66" s="20" t="s">
        <v>54</v>
      </c>
      <c r="B66" s="20" t="s">
        <v>55</v>
      </c>
      <c r="C66" s="20" t="s">
        <v>27</v>
      </c>
      <c r="D66" s="20" t="n">
        <v>95</v>
      </c>
      <c r="E66" s="20" t="s">
        <v>22</v>
      </c>
      <c r="F66" s="20" t="n">
        <v>13</v>
      </c>
      <c r="G66" s="20" t="n">
        <v>26</v>
      </c>
      <c r="H66" s="20" t="n">
        <v>55</v>
      </c>
      <c r="I66" s="20" t="n">
        <v>50</v>
      </c>
      <c r="J66" s="20" t="n">
        <v>-5</v>
      </c>
      <c r="K66" s="20" t="s">
        <v>53</v>
      </c>
    </row>
    <row r="67" customFormat="false" ht="15.75" hidden="false" customHeight="true" outlineLevel="0" collapsed="false">
      <c r="A67" s="20" t="s">
        <v>54</v>
      </c>
      <c r="B67" s="20" t="s">
        <v>55</v>
      </c>
      <c r="C67" s="20" t="s">
        <v>27</v>
      </c>
      <c r="D67" s="20" t="n">
        <v>95</v>
      </c>
      <c r="E67" s="20" t="s">
        <v>23</v>
      </c>
      <c r="F67" s="20" t="n">
        <v>19</v>
      </c>
      <c r="G67" s="20" t="n">
        <v>27</v>
      </c>
      <c r="H67" s="20" t="n">
        <v>75</v>
      </c>
      <c r="I67" s="20" t="n">
        <v>70</v>
      </c>
      <c r="J67" s="20" t="n">
        <v>-5</v>
      </c>
      <c r="K67" s="20" t="s">
        <v>53</v>
      </c>
    </row>
    <row r="68" customFormat="false" ht="15.75" hidden="false" customHeight="true" outlineLevel="0" collapsed="false">
      <c r="A68" s="20" t="s">
        <v>54</v>
      </c>
      <c r="B68" s="20" t="s">
        <v>55</v>
      </c>
      <c r="C68" s="20" t="s">
        <v>27</v>
      </c>
      <c r="D68" s="20" t="n">
        <v>95</v>
      </c>
      <c r="E68" s="20" t="s">
        <v>24</v>
      </c>
      <c r="F68" s="20" t="n">
        <v>24</v>
      </c>
      <c r="G68" s="20" t="n">
        <v>28</v>
      </c>
      <c r="H68" s="20" t="n">
        <v>90</v>
      </c>
      <c r="I68" s="20" t="n">
        <v>86</v>
      </c>
      <c r="J68" s="20" t="n">
        <v>-4</v>
      </c>
      <c r="K68" s="20" t="s">
        <v>53</v>
      </c>
    </row>
    <row r="69" customFormat="false" ht="15.75" hidden="false" customHeight="true" outlineLevel="0" collapsed="false">
      <c r="A69" s="20" t="s">
        <v>56</v>
      </c>
      <c r="B69" s="20" t="s">
        <v>57</v>
      </c>
      <c r="C69" s="20" t="s">
        <v>27</v>
      </c>
      <c r="D69" s="20" t="n">
        <v>95</v>
      </c>
      <c r="E69" s="20" t="s">
        <v>19</v>
      </c>
      <c r="F69" s="20" t="n">
        <v>2</v>
      </c>
      <c r="G69" s="20" t="n">
        <v>18</v>
      </c>
      <c r="H69" s="20" t="n">
        <v>10</v>
      </c>
      <c r="I69" s="20" t="n">
        <v>11</v>
      </c>
      <c r="J69" s="20" t="n">
        <v>1</v>
      </c>
      <c r="K69" s="20" t="s">
        <v>52</v>
      </c>
    </row>
    <row r="70" customFormat="false" ht="15.75" hidden="false" customHeight="true" outlineLevel="0" collapsed="false">
      <c r="A70" s="20" t="s">
        <v>56</v>
      </c>
      <c r="B70" s="20" t="s">
        <v>57</v>
      </c>
      <c r="C70" s="20" t="s">
        <v>27</v>
      </c>
      <c r="D70" s="20" t="n">
        <v>95</v>
      </c>
      <c r="E70" s="20" t="s">
        <v>21</v>
      </c>
      <c r="F70" s="20" t="n">
        <v>5</v>
      </c>
      <c r="G70" s="20" t="n">
        <v>19</v>
      </c>
      <c r="H70" s="20" t="n">
        <v>25</v>
      </c>
      <c r="I70" s="20" t="n">
        <v>26</v>
      </c>
      <c r="J70" s="20" t="n">
        <v>1</v>
      </c>
      <c r="K70" s="20" t="s">
        <v>52</v>
      </c>
    </row>
    <row r="71" customFormat="false" ht="15.75" hidden="false" customHeight="true" outlineLevel="0" collapsed="false">
      <c r="A71" s="20" t="s">
        <v>56</v>
      </c>
      <c r="B71" s="20" t="s">
        <v>57</v>
      </c>
      <c r="C71" s="20" t="s">
        <v>27</v>
      </c>
      <c r="D71" s="20" t="n">
        <v>95</v>
      </c>
      <c r="E71" s="20" t="s">
        <v>22</v>
      </c>
      <c r="F71" s="20" t="n">
        <v>11</v>
      </c>
      <c r="G71" s="20" t="n">
        <v>21</v>
      </c>
      <c r="H71" s="20" t="n">
        <v>50</v>
      </c>
      <c r="I71" s="20" t="n">
        <v>52</v>
      </c>
      <c r="J71" s="20" t="n">
        <v>2</v>
      </c>
      <c r="K71" s="20" t="s">
        <v>52</v>
      </c>
    </row>
    <row r="72" customFormat="false" ht="15.75" hidden="false" customHeight="true" outlineLevel="0" collapsed="false">
      <c r="A72" s="20" t="s">
        <v>56</v>
      </c>
      <c r="B72" s="20" t="s">
        <v>57</v>
      </c>
      <c r="C72" s="20" t="s">
        <v>27</v>
      </c>
      <c r="D72" s="20" t="n">
        <v>95</v>
      </c>
      <c r="E72" s="20" t="s">
        <v>23</v>
      </c>
      <c r="F72" s="20" t="n">
        <v>16</v>
      </c>
      <c r="G72" s="20" t="n">
        <v>22</v>
      </c>
      <c r="H72" s="20" t="n">
        <v>70</v>
      </c>
      <c r="I72" s="20" t="n">
        <v>72</v>
      </c>
      <c r="J72" s="20" t="n">
        <v>2</v>
      </c>
      <c r="K72" s="20" t="s">
        <v>52</v>
      </c>
    </row>
    <row r="73" customFormat="false" ht="15.75" hidden="false" customHeight="true" outlineLevel="0" collapsed="false">
      <c r="A73" s="20" t="s">
        <v>56</v>
      </c>
      <c r="B73" s="20" t="s">
        <v>57</v>
      </c>
      <c r="C73" s="20" t="s">
        <v>27</v>
      </c>
      <c r="D73" s="20" t="n">
        <v>95</v>
      </c>
      <c r="E73" s="20" t="s">
        <v>24</v>
      </c>
      <c r="F73" s="20" t="n">
        <v>22</v>
      </c>
      <c r="G73" s="20" t="n">
        <v>25</v>
      </c>
      <c r="H73" s="20" t="n">
        <v>85</v>
      </c>
      <c r="I73" s="20" t="n">
        <v>87</v>
      </c>
      <c r="J73" s="20" t="n">
        <v>2</v>
      </c>
      <c r="K73" s="20" t="s">
        <v>52</v>
      </c>
    </row>
    <row r="74" customFormat="false" ht="15.75" hidden="false" customHeight="true" outlineLevel="0" collapsed="false">
      <c r="A74" s="20" t="s">
        <v>58</v>
      </c>
      <c r="B74" s="20" t="s">
        <v>59</v>
      </c>
      <c r="C74" s="20" t="s">
        <v>27</v>
      </c>
      <c r="D74" s="20" t="n">
        <v>95</v>
      </c>
      <c r="E74" s="20" t="s">
        <v>19</v>
      </c>
      <c r="F74" s="20" t="n">
        <v>2</v>
      </c>
      <c r="G74" s="20" t="n">
        <v>20</v>
      </c>
      <c r="H74" s="20" t="n">
        <v>10</v>
      </c>
      <c r="I74" s="20" t="n">
        <v>10</v>
      </c>
      <c r="J74" s="20" t="n">
        <v>0</v>
      </c>
      <c r="K74" s="20" t="s">
        <v>52</v>
      </c>
    </row>
    <row r="75" customFormat="false" ht="15.75" hidden="false" customHeight="true" outlineLevel="0" collapsed="false">
      <c r="A75" s="20" t="s">
        <v>58</v>
      </c>
      <c r="B75" s="20" t="s">
        <v>59</v>
      </c>
      <c r="C75" s="20" t="s">
        <v>27</v>
      </c>
      <c r="D75" s="20" t="n">
        <v>95</v>
      </c>
      <c r="E75" s="20" t="s">
        <v>21</v>
      </c>
      <c r="F75" s="20" t="n">
        <v>5</v>
      </c>
      <c r="G75" s="20" t="n">
        <v>19</v>
      </c>
      <c r="H75" s="20" t="n">
        <v>25</v>
      </c>
      <c r="I75" s="20" t="n">
        <v>26</v>
      </c>
      <c r="J75" s="20" t="n">
        <v>1</v>
      </c>
      <c r="K75" s="20" t="s">
        <v>52</v>
      </c>
    </row>
    <row r="76" customFormat="false" ht="15.75" hidden="false" customHeight="true" outlineLevel="0" collapsed="false">
      <c r="A76" s="20" t="s">
        <v>58</v>
      </c>
      <c r="B76" s="20" t="s">
        <v>59</v>
      </c>
      <c r="C76" s="20" t="s">
        <v>27</v>
      </c>
      <c r="D76" s="20" t="n">
        <v>95</v>
      </c>
      <c r="E76" s="20" t="s">
        <v>22</v>
      </c>
      <c r="F76" s="20" t="n">
        <v>12</v>
      </c>
      <c r="G76" s="20" t="n">
        <v>24</v>
      </c>
      <c r="H76" s="20" t="n">
        <v>50</v>
      </c>
      <c r="I76" s="20" t="n">
        <v>51</v>
      </c>
      <c r="J76" s="20" t="n">
        <v>1</v>
      </c>
      <c r="K76" s="20" t="s">
        <v>52</v>
      </c>
    </row>
    <row r="77" customFormat="false" ht="15.75" hidden="false" customHeight="true" outlineLevel="0" collapsed="false">
      <c r="A77" s="20" t="s">
        <v>58</v>
      </c>
      <c r="B77" s="20" t="s">
        <v>59</v>
      </c>
      <c r="C77" s="20" t="s">
        <v>27</v>
      </c>
      <c r="D77" s="20" t="n">
        <v>95</v>
      </c>
      <c r="E77" s="20" t="s">
        <v>23</v>
      </c>
      <c r="F77" s="20" t="n">
        <v>12</v>
      </c>
      <c r="G77" s="20" t="n">
        <v>22</v>
      </c>
      <c r="H77" s="20" t="n">
        <v>60</v>
      </c>
      <c r="I77" s="20" t="n">
        <v>55</v>
      </c>
      <c r="J77" s="20" t="n">
        <v>-5</v>
      </c>
      <c r="K77" s="20" t="s">
        <v>53</v>
      </c>
    </row>
    <row r="78" customFormat="false" ht="15.75" hidden="false" customHeight="true" outlineLevel="0" collapsed="false">
      <c r="A78" s="20" t="s">
        <v>58</v>
      </c>
      <c r="B78" s="20" t="s">
        <v>59</v>
      </c>
      <c r="C78" s="20" t="s">
        <v>27</v>
      </c>
      <c r="D78" s="20" t="n">
        <v>95</v>
      </c>
      <c r="E78" s="20" t="s">
        <v>24</v>
      </c>
      <c r="F78" s="20" t="n">
        <v>18</v>
      </c>
      <c r="G78" s="20" t="n">
        <v>24</v>
      </c>
      <c r="H78" s="20" t="n">
        <v>80</v>
      </c>
      <c r="I78" s="20" t="n">
        <v>74</v>
      </c>
      <c r="J78" s="20" t="n">
        <v>-6</v>
      </c>
      <c r="K78" s="20" t="s">
        <v>53</v>
      </c>
    </row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A1:N1"/>
    <mergeCell ref="A2:N2"/>
    <mergeCell ref="A21:N21"/>
    <mergeCell ref="B22:N22"/>
    <mergeCell ref="B23:N23"/>
    <mergeCell ref="B24:N24"/>
    <mergeCell ref="B25:N2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01"/>
  <sheetViews>
    <sheetView showFormulas="false" showGridLines="true" showRowColHeaders="true" showZeros="true" rightToLeft="false" tabSelected="true" showOutlineSymbols="true" defaultGridColor="true" view="normal" topLeftCell="D1" colorId="64" zoomScale="100" zoomScaleNormal="100" zoomScalePageLayoutView="100" workbookViewId="0">
      <selection pane="topLeft" activeCell="J5" activeCellId="0" sqref="J5"/>
    </sheetView>
  </sheetViews>
  <sheetFormatPr defaultColWidth="12.6328125" defaultRowHeight="15" zeroHeight="false" outlineLevelRow="0" outlineLevelCol="0"/>
  <cols>
    <col collapsed="false" customWidth="true" hidden="false" outlineLevel="0" max="2" min="2" style="1" width="34.63"/>
  </cols>
  <sheetData>
    <row r="1" customFormat="false" ht="15.7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15.75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</row>
    <row r="4" customFormat="false" ht="15.75" hidden="false" customHeight="true" outlineLevel="0" collapsed="false">
      <c r="A4" s="5" t="s">
        <v>61</v>
      </c>
      <c r="B4" s="6" t="s">
        <v>62</v>
      </c>
      <c r="C4" s="7"/>
      <c r="D4" s="5" t="s">
        <v>27</v>
      </c>
      <c r="E4" s="5" t="n">
        <v>95</v>
      </c>
      <c r="F4" s="5" t="n">
        <v>2026</v>
      </c>
      <c r="G4" s="5" t="s">
        <v>19</v>
      </c>
      <c r="H4" s="5" t="n">
        <v>78</v>
      </c>
      <c r="I4" s="5" t="n">
        <v>92</v>
      </c>
      <c r="J4" s="5" t="n">
        <v>75</v>
      </c>
      <c r="K4" s="8" t="n">
        <v>84.8</v>
      </c>
      <c r="L4" s="8" t="n">
        <v>9.8</v>
      </c>
      <c r="M4" s="14" t="n">
        <f aca="false">(K4/J4)*100</f>
        <v>113.066666666667</v>
      </c>
      <c r="N4" s="10" t="s">
        <v>20</v>
      </c>
    </row>
    <row r="5" customFormat="false" ht="15.75" hidden="false" customHeight="true" outlineLevel="0" collapsed="false">
      <c r="A5" s="11" t="s">
        <v>61</v>
      </c>
      <c r="B5" s="12" t="s">
        <v>62</v>
      </c>
      <c r="C5" s="13"/>
      <c r="D5" s="11" t="s">
        <v>27</v>
      </c>
      <c r="E5" s="11" t="n">
        <v>95</v>
      </c>
      <c r="F5" s="11" t="n">
        <v>2026</v>
      </c>
      <c r="G5" s="11" t="s">
        <v>21</v>
      </c>
      <c r="H5" s="11" t="n">
        <v>85</v>
      </c>
      <c r="I5" s="11" t="n">
        <v>92</v>
      </c>
      <c r="J5" s="11" t="n">
        <v>80</v>
      </c>
      <c r="K5" s="14" t="n">
        <v>92.4</v>
      </c>
      <c r="L5" s="14" t="n">
        <v>12.4</v>
      </c>
      <c r="M5" s="14" t="n">
        <f aca="false">(K5/J5)*100</f>
        <v>115.5</v>
      </c>
      <c r="N5" s="10" t="s">
        <v>20</v>
      </c>
    </row>
    <row r="6" customFormat="false" ht="15.75" hidden="false" customHeight="true" outlineLevel="0" collapsed="false">
      <c r="A6" s="5" t="s">
        <v>61</v>
      </c>
      <c r="B6" s="6" t="s">
        <v>62</v>
      </c>
      <c r="C6" s="7"/>
      <c r="D6" s="5" t="s">
        <v>27</v>
      </c>
      <c r="E6" s="5" t="n">
        <v>95</v>
      </c>
      <c r="F6" s="5" t="n">
        <v>2026</v>
      </c>
      <c r="G6" s="5" t="s">
        <v>22</v>
      </c>
      <c r="H6" s="5" t="n">
        <v>94</v>
      </c>
      <c r="I6" s="5" t="n">
        <v>98</v>
      </c>
      <c r="J6" s="5" t="n">
        <v>85</v>
      </c>
      <c r="K6" s="8" t="n">
        <v>95.9</v>
      </c>
      <c r="L6" s="8" t="n">
        <v>10.9</v>
      </c>
      <c r="M6" s="14" t="n">
        <f aca="false">(K6/J6)*100</f>
        <v>112.823529411765</v>
      </c>
      <c r="N6" s="10" t="s">
        <v>20</v>
      </c>
    </row>
    <row r="7" customFormat="false" ht="15.75" hidden="false" customHeight="true" outlineLevel="0" collapsed="false">
      <c r="A7" s="11" t="s">
        <v>61</v>
      </c>
      <c r="B7" s="12" t="s">
        <v>62</v>
      </c>
      <c r="C7" s="13"/>
      <c r="D7" s="11" t="s">
        <v>27</v>
      </c>
      <c r="E7" s="11" t="n">
        <v>95</v>
      </c>
      <c r="F7" s="11" t="n">
        <v>2026</v>
      </c>
      <c r="G7" s="11" t="s">
        <v>23</v>
      </c>
      <c r="H7" s="11" t="n">
        <v>79</v>
      </c>
      <c r="I7" s="11" t="n">
        <v>87</v>
      </c>
      <c r="J7" s="11" t="n">
        <v>88</v>
      </c>
      <c r="K7" s="14" t="n">
        <v>90.8</v>
      </c>
      <c r="L7" s="14" t="n">
        <v>2.8</v>
      </c>
      <c r="M7" s="14" t="n">
        <f aca="false">(K7/J7)*100</f>
        <v>103.181818181818</v>
      </c>
      <c r="N7" s="10" t="s">
        <v>20</v>
      </c>
    </row>
    <row r="8" customFormat="false" ht="15.75" hidden="false" customHeight="true" outlineLevel="0" collapsed="false">
      <c r="A8" s="5" t="s">
        <v>61</v>
      </c>
      <c r="B8" s="6" t="s">
        <v>62</v>
      </c>
      <c r="C8" s="7"/>
      <c r="D8" s="5" t="s">
        <v>27</v>
      </c>
      <c r="E8" s="5" t="n">
        <v>95</v>
      </c>
      <c r="F8" s="5" t="n">
        <v>2026</v>
      </c>
      <c r="G8" s="5" t="s">
        <v>24</v>
      </c>
      <c r="H8" s="5" t="n">
        <v>96</v>
      </c>
      <c r="I8" s="5" t="n">
        <v>100</v>
      </c>
      <c r="J8" s="5" t="n">
        <v>90</v>
      </c>
      <c r="K8" s="8" t="n">
        <v>96</v>
      </c>
      <c r="L8" s="8" t="n">
        <v>6</v>
      </c>
      <c r="M8" s="14" t="n">
        <f aca="false">(K8/J8)*100</f>
        <v>106.666666666667</v>
      </c>
      <c r="N8" s="10" t="s">
        <v>20</v>
      </c>
    </row>
    <row r="9" customFormat="false" ht="15.75" hidden="false" customHeight="true" outlineLevel="0" collapsed="false">
      <c r="A9" s="11" t="s">
        <v>63</v>
      </c>
      <c r="B9" s="12" t="s">
        <v>64</v>
      </c>
      <c r="C9" s="13"/>
      <c r="D9" s="11" t="s">
        <v>65</v>
      </c>
      <c r="E9" s="11" t="n">
        <v>20</v>
      </c>
      <c r="F9" s="11" t="n">
        <v>2026</v>
      </c>
      <c r="G9" s="11" t="s">
        <v>19</v>
      </c>
      <c r="H9" s="11" t="n">
        <v>555</v>
      </c>
      <c r="I9" s="11" t="n">
        <v>30</v>
      </c>
      <c r="J9" s="11" t="n">
        <v>30</v>
      </c>
      <c r="K9" s="14" t="n">
        <v>18.5</v>
      </c>
      <c r="L9" s="14" t="n">
        <v>-11.5</v>
      </c>
      <c r="M9" s="14" t="n">
        <f aca="false">(J9/K9)*100</f>
        <v>162.162162162162</v>
      </c>
      <c r="N9" s="10" t="s">
        <v>20</v>
      </c>
    </row>
    <row r="10" customFormat="false" ht="15.75" hidden="false" customHeight="true" outlineLevel="0" collapsed="false">
      <c r="A10" s="5" t="s">
        <v>63</v>
      </c>
      <c r="B10" s="6" t="s">
        <v>64</v>
      </c>
      <c r="C10" s="7"/>
      <c r="D10" s="5" t="s">
        <v>65</v>
      </c>
      <c r="E10" s="5" t="n">
        <v>20</v>
      </c>
      <c r="F10" s="5" t="n">
        <v>2026</v>
      </c>
      <c r="G10" s="5" t="s">
        <v>21</v>
      </c>
      <c r="H10" s="5" t="n">
        <v>462</v>
      </c>
      <c r="I10" s="5" t="n">
        <v>22</v>
      </c>
      <c r="J10" s="5" t="n">
        <v>28</v>
      </c>
      <c r="K10" s="8" t="n">
        <v>21</v>
      </c>
      <c r="L10" s="8" t="n">
        <v>-7</v>
      </c>
      <c r="M10" s="14" t="n">
        <f aca="false">(J10/K10)*100</f>
        <v>133.333333333333</v>
      </c>
      <c r="N10" s="10" t="s">
        <v>20</v>
      </c>
    </row>
    <row r="11" customFormat="false" ht="15.75" hidden="false" customHeight="true" outlineLevel="0" collapsed="false">
      <c r="A11" s="11" t="s">
        <v>63</v>
      </c>
      <c r="B11" s="12" t="s">
        <v>64</v>
      </c>
      <c r="C11" s="13"/>
      <c r="D11" s="11" t="s">
        <v>65</v>
      </c>
      <c r="E11" s="11" t="n">
        <v>20</v>
      </c>
      <c r="F11" s="11" t="n">
        <v>2026</v>
      </c>
      <c r="G11" s="11" t="s">
        <v>22</v>
      </c>
      <c r="H11" s="11" t="n">
        <v>380</v>
      </c>
      <c r="I11" s="11" t="n">
        <v>19</v>
      </c>
      <c r="J11" s="11" t="n">
        <v>26</v>
      </c>
      <c r="K11" s="14" t="n">
        <v>20</v>
      </c>
      <c r="L11" s="14" t="n">
        <v>-6</v>
      </c>
      <c r="M11" s="14" t="n">
        <f aca="false">(J11/K11)*100</f>
        <v>130</v>
      </c>
      <c r="N11" s="10" t="s">
        <v>20</v>
      </c>
    </row>
    <row r="12" customFormat="false" ht="15.75" hidden="false" customHeight="true" outlineLevel="0" collapsed="false">
      <c r="A12" s="5" t="s">
        <v>63</v>
      </c>
      <c r="B12" s="6" t="s">
        <v>64</v>
      </c>
      <c r="C12" s="7"/>
      <c r="D12" s="5" t="s">
        <v>65</v>
      </c>
      <c r="E12" s="5" t="n">
        <v>20</v>
      </c>
      <c r="F12" s="5" t="n">
        <v>2026</v>
      </c>
      <c r="G12" s="5" t="s">
        <v>23</v>
      </c>
      <c r="H12" s="5" t="n">
        <v>400</v>
      </c>
      <c r="I12" s="5" t="n">
        <v>23</v>
      </c>
      <c r="J12" s="5" t="n">
        <v>24</v>
      </c>
      <c r="K12" s="8" t="n">
        <v>17.4</v>
      </c>
      <c r="L12" s="8" t="n">
        <v>-6.6</v>
      </c>
      <c r="M12" s="14" t="n">
        <f aca="false">(J12/K12)*100</f>
        <v>137.931034482759</v>
      </c>
      <c r="N12" s="10" t="s">
        <v>20</v>
      </c>
    </row>
    <row r="13" customFormat="false" ht="15.75" hidden="false" customHeight="true" outlineLevel="0" collapsed="false">
      <c r="A13" s="11" t="s">
        <v>63</v>
      </c>
      <c r="B13" s="12" t="s">
        <v>64</v>
      </c>
      <c r="C13" s="13"/>
      <c r="D13" s="11" t="s">
        <v>65</v>
      </c>
      <c r="E13" s="11" t="n">
        <v>20</v>
      </c>
      <c r="F13" s="11" t="n">
        <v>2026</v>
      </c>
      <c r="G13" s="11" t="s">
        <v>24</v>
      </c>
      <c r="H13" s="11" t="n">
        <v>350</v>
      </c>
      <c r="I13" s="11" t="n">
        <v>20</v>
      </c>
      <c r="J13" s="11" t="n">
        <v>22</v>
      </c>
      <c r="K13" s="14" t="n">
        <v>17.5</v>
      </c>
      <c r="L13" s="14" t="n">
        <v>-4.5</v>
      </c>
      <c r="M13" s="14" t="n">
        <f aca="false">(J13/K13)*100</f>
        <v>125.714285714286</v>
      </c>
      <c r="N13" s="10" t="s">
        <v>20</v>
      </c>
    </row>
    <row r="14" customFormat="false" ht="15.75" hidden="false" customHeight="true" outlineLevel="0" collapsed="false">
      <c r="A14" s="5" t="s">
        <v>66</v>
      </c>
      <c r="B14" s="6" t="s">
        <v>67</v>
      </c>
      <c r="C14" s="7"/>
      <c r="D14" s="5" t="s">
        <v>27</v>
      </c>
      <c r="E14" s="5" t="n">
        <v>95</v>
      </c>
      <c r="F14" s="5" t="n">
        <v>2026</v>
      </c>
      <c r="G14" s="5" t="s">
        <v>19</v>
      </c>
      <c r="H14" s="5" t="n">
        <v>30</v>
      </c>
      <c r="I14" s="5" t="n">
        <v>40</v>
      </c>
      <c r="J14" s="5" t="n">
        <v>70</v>
      </c>
      <c r="K14" s="8" t="n">
        <v>75</v>
      </c>
      <c r="L14" s="8" t="n">
        <v>5</v>
      </c>
      <c r="M14" s="14" t="n">
        <f aca="false">(K14/J14)*100</f>
        <v>107.142857142857</v>
      </c>
      <c r="N14" s="10" t="s">
        <v>20</v>
      </c>
    </row>
    <row r="15" customFormat="false" ht="15.75" hidden="false" customHeight="true" outlineLevel="0" collapsed="false">
      <c r="A15" s="11" t="s">
        <v>66</v>
      </c>
      <c r="B15" s="12" t="s">
        <v>67</v>
      </c>
      <c r="C15" s="13"/>
      <c r="D15" s="11" t="s">
        <v>27</v>
      </c>
      <c r="E15" s="11" t="n">
        <v>95</v>
      </c>
      <c r="F15" s="11" t="n">
        <v>2026</v>
      </c>
      <c r="G15" s="11" t="s">
        <v>21</v>
      </c>
      <c r="H15" s="11" t="n">
        <v>41</v>
      </c>
      <c r="I15" s="11" t="n">
        <v>45</v>
      </c>
      <c r="J15" s="11" t="n">
        <v>75</v>
      </c>
      <c r="K15" s="14" t="n">
        <v>91.1</v>
      </c>
      <c r="L15" s="14" t="n">
        <v>16.1</v>
      </c>
      <c r="M15" s="14" t="n">
        <f aca="false">(K15/J15)*100</f>
        <v>121.466666666667</v>
      </c>
      <c r="N15" s="10" t="s">
        <v>20</v>
      </c>
    </row>
    <row r="16" customFormat="false" ht="15.75" hidden="false" customHeight="true" outlineLevel="0" collapsed="false">
      <c r="A16" s="5" t="s">
        <v>66</v>
      </c>
      <c r="B16" s="6" t="s">
        <v>67</v>
      </c>
      <c r="C16" s="7"/>
      <c r="D16" s="5" t="s">
        <v>27</v>
      </c>
      <c r="E16" s="5" t="n">
        <v>95</v>
      </c>
      <c r="F16" s="5" t="n">
        <v>2026</v>
      </c>
      <c r="G16" s="5" t="s">
        <v>22</v>
      </c>
      <c r="H16" s="5" t="n">
        <v>44</v>
      </c>
      <c r="I16" s="5" t="n">
        <v>46</v>
      </c>
      <c r="J16" s="5" t="n">
        <v>78</v>
      </c>
      <c r="K16" s="8" t="n">
        <v>95.7</v>
      </c>
      <c r="L16" s="8" t="n">
        <v>17.7</v>
      </c>
      <c r="M16" s="14" t="n">
        <f aca="false">(K16/J16)*100</f>
        <v>122.692307692308</v>
      </c>
      <c r="N16" s="10" t="s">
        <v>20</v>
      </c>
    </row>
    <row r="17" customFormat="false" ht="15.75" hidden="false" customHeight="true" outlineLevel="0" collapsed="false">
      <c r="A17" s="11" t="s">
        <v>66</v>
      </c>
      <c r="B17" s="12" t="s">
        <v>67</v>
      </c>
      <c r="C17" s="13"/>
      <c r="D17" s="11" t="s">
        <v>27</v>
      </c>
      <c r="E17" s="11" t="n">
        <v>95</v>
      </c>
      <c r="F17" s="11" t="n">
        <v>2026</v>
      </c>
      <c r="G17" s="11" t="s">
        <v>23</v>
      </c>
      <c r="H17" s="11" t="n">
        <v>35</v>
      </c>
      <c r="I17" s="11" t="n">
        <v>38</v>
      </c>
      <c r="J17" s="11" t="n">
        <v>81</v>
      </c>
      <c r="K17" s="14" t="n">
        <v>92.1</v>
      </c>
      <c r="L17" s="14" t="n">
        <v>11.1</v>
      </c>
      <c r="M17" s="14" t="n">
        <f aca="false">(K17/J17)*100</f>
        <v>113.703703703704</v>
      </c>
      <c r="N17" s="10" t="s">
        <v>20</v>
      </c>
    </row>
    <row r="18" customFormat="false" ht="15.75" hidden="false" customHeight="true" outlineLevel="0" collapsed="false">
      <c r="A18" s="5" t="s">
        <v>66</v>
      </c>
      <c r="B18" s="6" t="s">
        <v>67</v>
      </c>
      <c r="C18" s="7"/>
      <c r="D18" s="5" t="s">
        <v>27</v>
      </c>
      <c r="E18" s="5" t="n">
        <v>95</v>
      </c>
      <c r="F18" s="5" t="n">
        <v>2026</v>
      </c>
      <c r="G18" s="5" t="s">
        <v>24</v>
      </c>
      <c r="H18" s="5" t="n">
        <v>48</v>
      </c>
      <c r="I18" s="5" t="n">
        <v>50</v>
      </c>
      <c r="J18" s="5" t="n">
        <v>85</v>
      </c>
      <c r="K18" s="8" t="n">
        <v>96</v>
      </c>
      <c r="L18" s="8" t="n">
        <v>11</v>
      </c>
      <c r="M18" s="14" t="n">
        <f aca="false">(K18/J18)*100</f>
        <v>112.941176470588</v>
      </c>
      <c r="N18" s="10" t="s">
        <v>20</v>
      </c>
    </row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>
      <c r="A21" s="17" t="s">
        <v>31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</row>
    <row r="22" customFormat="false" ht="15.75" hidden="false" customHeight="true" outlineLevel="0" collapsed="false">
      <c r="A22" s="21" t="s">
        <v>32</v>
      </c>
      <c r="B22" s="19" t="s">
        <v>33</v>
      </c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</row>
    <row r="23" customFormat="false" ht="15.75" hidden="false" customHeight="true" outlineLevel="0" collapsed="false">
      <c r="A23" s="21" t="s">
        <v>34</v>
      </c>
      <c r="B23" s="19" t="s">
        <v>35</v>
      </c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</row>
    <row r="24" customFormat="false" ht="15.75" hidden="false" customHeight="true" outlineLevel="0" collapsed="false">
      <c r="A24" s="21" t="s">
        <v>68</v>
      </c>
      <c r="B24" s="19" t="s">
        <v>37</v>
      </c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</row>
    <row r="25" customFormat="false" ht="15.75" hidden="false" customHeight="true" outlineLevel="0" collapsed="false">
      <c r="A25" s="22" t="s">
        <v>69</v>
      </c>
      <c r="B25" s="23" t="s">
        <v>70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</row>
    <row r="26" customFormat="false" ht="15.75" hidden="false" customHeight="true" outlineLevel="0" collapsed="false">
      <c r="A26" s="21" t="s">
        <v>38</v>
      </c>
      <c r="B26" s="19" t="s">
        <v>39</v>
      </c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</row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>
      <c r="A44" s="20" t="s">
        <v>40</v>
      </c>
      <c r="B44" s="20" t="s">
        <v>41</v>
      </c>
      <c r="C44" s="20" t="s">
        <v>42</v>
      </c>
      <c r="D44" s="20" t="s">
        <v>43</v>
      </c>
      <c r="E44" s="20" t="s">
        <v>8</v>
      </c>
      <c r="F44" s="20" t="s">
        <v>44</v>
      </c>
      <c r="G44" s="20" t="s">
        <v>45</v>
      </c>
      <c r="H44" s="20" t="s">
        <v>46</v>
      </c>
      <c r="I44" s="20" t="s">
        <v>47</v>
      </c>
      <c r="J44" s="20" t="s">
        <v>48</v>
      </c>
      <c r="K44" s="20" t="s">
        <v>49</v>
      </c>
    </row>
    <row r="45" customFormat="false" ht="15.75" hidden="false" customHeight="true" outlineLevel="0" collapsed="false">
      <c r="A45" s="20" t="s">
        <v>71</v>
      </c>
      <c r="B45" s="20" t="s">
        <v>72</v>
      </c>
      <c r="C45" s="20" t="s">
        <v>27</v>
      </c>
      <c r="D45" s="20" t="n">
        <v>95</v>
      </c>
      <c r="E45" s="20" t="s">
        <v>19</v>
      </c>
      <c r="F45" s="20" t="n">
        <v>48</v>
      </c>
      <c r="G45" s="20" t="n">
        <v>50</v>
      </c>
      <c r="H45" s="20" t="n">
        <v>70</v>
      </c>
      <c r="I45" s="20" t="n">
        <v>96</v>
      </c>
      <c r="J45" s="20" t="n">
        <f aca="false">I45-H45</f>
        <v>26</v>
      </c>
      <c r="K45" s="20" t="s">
        <v>52</v>
      </c>
    </row>
    <row r="46" customFormat="false" ht="15.75" hidden="false" customHeight="true" outlineLevel="0" collapsed="false">
      <c r="A46" s="20" t="s">
        <v>71</v>
      </c>
      <c r="B46" s="20" t="s">
        <v>72</v>
      </c>
      <c r="C46" s="20" t="s">
        <v>27</v>
      </c>
      <c r="D46" s="20" t="n">
        <v>95</v>
      </c>
      <c r="E46" s="20" t="s">
        <v>21</v>
      </c>
      <c r="F46" s="20" t="n">
        <v>49</v>
      </c>
      <c r="G46" s="20" t="n">
        <v>51</v>
      </c>
      <c r="H46" s="20" t="n">
        <v>72</v>
      </c>
      <c r="I46" s="20" t="n">
        <v>96.1</v>
      </c>
      <c r="J46" s="20" t="n">
        <f aca="false">I46-H46</f>
        <v>24.1</v>
      </c>
      <c r="K46" s="20" t="s">
        <v>52</v>
      </c>
    </row>
    <row r="47" customFormat="false" ht="15.75" hidden="false" customHeight="true" outlineLevel="0" collapsed="false">
      <c r="A47" s="20" t="s">
        <v>71</v>
      </c>
      <c r="B47" s="20" t="s">
        <v>72</v>
      </c>
      <c r="C47" s="20" t="s">
        <v>27</v>
      </c>
      <c r="D47" s="20" t="n">
        <v>95</v>
      </c>
      <c r="E47" s="20" t="s">
        <v>22</v>
      </c>
      <c r="F47" s="20" t="n">
        <v>48</v>
      </c>
      <c r="G47" s="20" t="n">
        <v>50</v>
      </c>
      <c r="H47" s="20" t="n">
        <v>75</v>
      </c>
      <c r="I47" s="20" t="n">
        <v>96</v>
      </c>
      <c r="J47" s="20" t="n">
        <f aca="false">I47-H47</f>
        <v>21</v>
      </c>
      <c r="K47" s="20" t="s">
        <v>52</v>
      </c>
    </row>
    <row r="48" customFormat="false" ht="15.75" hidden="false" customHeight="true" outlineLevel="0" collapsed="false">
      <c r="A48" s="20" t="s">
        <v>71</v>
      </c>
      <c r="B48" s="20" t="s">
        <v>72</v>
      </c>
      <c r="C48" s="20" t="s">
        <v>27</v>
      </c>
      <c r="D48" s="20" t="n">
        <v>95</v>
      </c>
      <c r="E48" s="20" t="s">
        <v>23</v>
      </c>
      <c r="F48" s="20" t="n">
        <v>52</v>
      </c>
      <c r="G48" s="20" t="n">
        <v>54</v>
      </c>
      <c r="H48" s="20" t="n">
        <v>80</v>
      </c>
      <c r="I48" s="20" t="n">
        <v>96.3</v>
      </c>
      <c r="J48" s="20" t="n">
        <f aca="false">I48-H48</f>
        <v>16.3</v>
      </c>
      <c r="K48" s="20" t="s">
        <v>52</v>
      </c>
    </row>
    <row r="49" customFormat="false" ht="15.75" hidden="false" customHeight="true" outlineLevel="0" collapsed="false">
      <c r="A49" s="20" t="s">
        <v>71</v>
      </c>
      <c r="B49" s="20" t="s">
        <v>72</v>
      </c>
      <c r="C49" s="20" t="s">
        <v>27</v>
      </c>
      <c r="D49" s="20" t="n">
        <v>95</v>
      </c>
      <c r="E49" s="20" t="s">
        <v>24</v>
      </c>
      <c r="F49" s="20" t="n">
        <v>57</v>
      </c>
      <c r="G49" s="20" t="n">
        <v>60</v>
      </c>
      <c r="H49" s="20" t="n">
        <v>85</v>
      </c>
      <c r="I49" s="20" t="n">
        <v>95</v>
      </c>
      <c r="J49" s="20" t="n">
        <f aca="false">I49-H49</f>
        <v>10</v>
      </c>
      <c r="K49" s="20" t="s">
        <v>52</v>
      </c>
    </row>
    <row r="50" customFormat="false" ht="15.75" hidden="false" customHeight="true" outlineLevel="0" collapsed="false">
      <c r="A50" s="20" t="s">
        <v>61</v>
      </c>
      <c r="B50" s="20" t="s">
        <v>62</v>
      </c>
      <c r="C50" s="20" t="s">
        <v>27</v>
      </c>
      <c r="D50" s="20" t="n">
        <v>95</v>
      </c>
      <c r="E50" s="20" t="s">
        <v>19</v>
      </c>
      <c r="F50" s="20" t="n">
        <v>78</v>
      </c>
      <c r="G50" s="20" t="n">
        <v>92</v>
      </c>
      <c r="H50" s="20" t="n">
        <v>75</v>
      </c>
      <c r="I50" s="20" t="n">
        <v>84.8</v>
      </c>
      <c r="J50" s="20" t="n">
        <f aca="false">I50-H50</f>
        <v>9.8</v>
      </c>
      <c r="K50" s="20" t="s">
        <v>52</v>
      </c>
    </row>
    <row r="51" customFormat="false" ht="15.75" hidden="false" customHeight="true" outlineLevel="0" collapsed="false">
      <c r="A51" s="20" t="s">
        <v>61</v>
      </c>
      <c r="B51" s="20" t="s">
        <v>62</v>
      </c>
      <c r="C51" s="20" t="s">
        <v>27</v>
      </c>
      <c r="D51" s="20" t="n">
        <v>95</v>
      </c>
      <c r="E51" s="20" t="s">
        <v>21</v>
      </c>
      <c r="F51" s="20" t="n">
        <v>85</v>
      </c>
      <c r="G51" s="20" t="n">
        <v>92</v>
      </c>
      <c r="H51" s="20" t="n">
        <v>80</v>
      </c>
      <c r="I51" s="20" t="n">
        <v>92.4</v>
      </c>
      <c r="J51" s="20" t="n">
        <f aca="false">I51-H51</f>
        <v>12.4</v>
      </c>
      <c r="K51" s="20" t="s">
        <v>52</v>
      </c>
    </row>
    <row r="52" customFormat="false" ht="15.75" hidden="false" customHeight="true" outlineLevel="0" collapsed="false">
      <c r="A52" s="20" t="s">
        <v>61</v>
      </c>
      <c r="B52" s="20" t="s">
        <v>62</v>
      </c>
      <c r="C52" s="20" t="s">
        <v>27</v>
      </c>
      <c r="D52" s="20" t="n">
        <v>95</v>
      </c>
      <c r="E52" s="20" t="s">
        <v>22</v>
      </c>
      <c r="F52" s="20" t="n">
        <v>94</v>
      </c>
      <c r="G52" s="20" t="n">
        <v>98</v>
      </c>
      <c r="H52" s="20" t="n">
        <v>85</v>
      </c>
      <c r="I52" s="20" t="n">
        <v>95.9</v>
      </c>
      <c r="J52" s="20" t="n">
        <f aca="false">I52-H52</f>
        <v>10.9</v>
      </c>
      <c r="K52" s="20" t="s">
        <v>52</v>
      </c>
    </row>
    <row r="53" customFormat="false" ht="15.75" hidden="false" customHeight="true" outlineLevel="0" collapsed="false">
      <c r="A53" s="20" t="s">
        <v>61</v>
      </c>
      <c r="B53" s="20" t="s">
        <v>62</v>
      </c>
      <c r="C53" s="20" t="s">
        <v>27</v>
      </c>
      <c r="D53" s="20" t="n">
        <v>95</v>
      </c>
      <c r="E53" s="20" t="s">
        <v>23</v>
      </c>
      <c r="F53" s="20" t="n">
        <v>79</v>
      </c>
      <c r="G53" s="20" t="n">
        <v>87</v>
      </c>
      <c r="H53" s="20" t="n">
        <v>88</v>
      </c>
      <c r="I53" s="20" t="n">
        <v>90.8</v>
      </c>
      <c r="J53" s="20" t="n">
        <f aca="false">I53-H53</f>
        <v>2.8</v>
      </c>
      <c r="K53" s="20" t="s">
        <v>52</v>
      </c>
    </row>
    <row r="54" customFormat="false" ht="15.75" hidden="false" customHeight="true" outlineLevel="0" collapsed="false">
      <c r="A54" s="20" t="s">
        <v>61</v>
      </c>
      <c r="B54" s="20" t="s">
        <v>62</v>
      </c>
      <c r="C54" s="20" t="s">
        <v>27</v>
      </c>
      <c r="D54" s="20" t="n">
        <v>95</v>
      </c>
      <c r="E54" s="20" t="s">
        <v>24</v>
      </c>
      <c r="F54" s="20" t="n">
        <v>96</v>
      </c>
      <c r="G54" s="20" t="n">
        <v>100</v>
      </c>
      <c r="H54" s="20" t="n">
        <v>90</v>
      </c>
      <c r="I54" s="20" t="n">
        <v>96</v>
      </c>
      <c r="J54" s="20" t="n">
        <f aca="false">I54-H54</f>
        <v>6</v>
      </c>
      <c r="K54" s="20" t="s">
        <v>52</v>
      </c>
    </row>
    <row r="55" customFormat="false" ht="15.75" hidden="false" customHeight="true" outlineLevel="0" collapsed="false">
      <c r="A55" s="20" t="s">
        <v>63</v>
      </c>
      <c r="B55" s="20" t="s">
        <v>64</v>
      </c>
      <c r="C55" s="20" t="s">
        <v>73</v>
      </c>
      <c r="D55" s="20" t="n">
        <v>20</v>
      </c>
      <c r="E55" s="20" t="s">
        <v>19</v>
      </c>
      <c r="F55" s="20" t="n">
        <v>555</v>
      </c>
      <c r="G55" s="20" t="n">
        <v>30</v>
      </c>
      <c r="H55" s="20" t="n">
        <v>30</v>
      </c>
      <c r="I55" s="20" t="n">
        <v>18.5</v>
      </c>
      <c r="J55" s="20" t="n">
        <f aca="false">I55-H55</f>
        <v>-11.5</v>
      </c>
      <c r="K55" s="20" t="s">
        <v>53</v>
      </c>
    </row>
    <row r="56" customFormat="false" ht="15.75" hidden="false" customHeight="true" outlineLevel="0" collapsed="false">
      <c r="A56" s="20" t="s">
        <v>63</v>
      </c>
      <c r="B56" s="20" t="s">
        <v>64</v>
      </c>
      <c r="C56" s="20" t="s">
        <v>73</v>
      </c>
      <c r="D56" s="20" t="n">
        <v>20</v>
      </c>
      <c r="E56" s="20" t="s">
        <v>21</v>
      </c>
      <c r="F56" s="20" t="n">
        <v>462</v>
      </c>
      <c r="G56" s="20" t="n">
        <v>22</v>
      </c>
      <c r="H56" s="20" t="n">
        <v>28</v>
      </c>
      <c r="I56" s="20" t="n">
        <v>21</v>
      </c>
      <c r="J56" s="20" t="n">
        <f aca="false">I56-H56</f>
        <v>-7</v>
      </c>
      <c r="K56" s="20" t="s">
        <v>53</v>
      </c>
    </row>
    <row r="57" customFormat="false" ht="15.75" hidden="false" customHeight="true" outlineLevel="0" collapsed="false">
      <c r="A57" s="20" t="s">
        <v>63</v>
      </c>
      <c r="B57" s="20" t="s">
        <v>64</v>
      </c>
      <c r="C57" s="20" t="s">
        <v>73</v>
      </c>
      <c r="D57" s="20" t="n">
        <v>20</v>
      </c>
      <c r="E57" s="20" t="s">
        <v>22</v>
      </c>
      <c r="F57" s="20" t="n">
        <v>380</v>
      </c>
      <c r="G57" s="20" t="n">
        <v>19</v>
      </c>
      <c r="H57" s="20" t="n">
        <v>26</v>
      </c>
      <c r="I57" s="20" t="n">
        <v>20</v>
      </c>
      <c r="J57" s="20" t="n">
        <f aca="false">I57-H57</f>
        <v>-6</v>
      </c>
      <c r="K57" s="20" t="s">
        <v>53</v>
      </c>
    </row>
    <row r="58" customFormat="false" ht="15.75" hidden="false" customHeight="true" outlineLevel="0" collapsed="false">
      <c r="A58" s="20" t="s">
        <v>63</v>
      </c>
      <c r="B58" s="20" t="s">
        <v>64</v>
      </c>
      <c r="C58" s="20" t="s">
        <v>73</v>
      </c>
      <c r="D58" s="20" t="n">
        <v>20</v>
      </c>
      <c r="E58" s="20" t="s">
        <v>23</v>
      </c>
      <c r="F58" s="20" t="n">
        <v>400</v>
      </c>
      <c r="G58" s="20" t="n">
        <v>23</v>
      </c>
      <c r="H58" s="20" t="n">
        <v>24</v>
      </c>
      <c r="I58" s="20" t="n">
        <v>17.4</v>
      </c>
      <c r="J58" s="20" t="n">
        <f aca="false">I58-H58</f>
        <v>-6.6</v>
      </c>
      <c r="K58" s="20" t="s">
        <v>53</v>
      </c>
    </row>
    <row r="59" customFormat="false" ht="15.75" hidden="false" customHeight="true" outlineLevel="0" collapsed="false">
      <c r="A59" s="20" t="s">
        <v>63</v>
      </c>
      <c r="B59" s="20" t="s">
        <v>64</v>
      </c>
      <c r="C59" s="20" t="s">
        <v>73</v>
      </c>
      <c r="D59" s="20" t="n">
        <v>20</v>
      </c>
      <c r="E59" s="20" t="s">
        <v>24</v>
      </c>
      <c r="F59" s="20" t="n">
        <v>350</v>
      </c>
      <c r="G59" s="20" t="n">
        <v>20</v>
      </c>
      <c r="H59" s="20" t="n">
        <v>22</v>
      </c>
      <c r="I59" s="20" t="n">
        <v>17.5</v>
      </c>
      <c r="J59" s="20" t="n">
        <f aca="false">I59-H59</f>
        <v>-4.5</v>
      </c>
      <c r="K59" s="20" t="s">
        <v>53</v>
      </c>
    </row>
    <row r="60" customFormat="false" ht="15.75" hidden="false" customHeight="true" outlineLevel="0" collapsed="false">
      <c r="A60" s="20" t="s">
        <v>66</v>
      </c>
      <c r="B60" s="20" t="s">
        <v>67</v>
      </c>
      <c r="C60" s="20" t="s">
        <v>27</v>
      </c>
      <c r="D60" s="20" t="n">
        <v>95</v>
      </c>
      <c r="E60" s="20" t="s">
        <v>19</v>
      </c>
      <c r="F60" s="20" t="n">
        <v>30</v>
      </c>
      <c r="G60" s="20" t="n">
        <v>40</v>
      </c>
      <c r="H60" s="20" t="n">
        <v>70</v>
      </c>
      <c r="I60" s="20" t="n">
        <v>75</v>
      </c>
      <c r="J60" s="20" t="n">
        <f aca="false">I60-H60</f>
        <v>5</v>
      </c>
      <c r="K60" s="20" t="s">
        <v>52</v>
      </c>
    </row>
    <row r="61" customFormat="false" ht="15.75" hidden="false" customHeight="true" outlineLevel="0" collapsed="false">
      <c r="A61" s="20" t="s">
        <v>66</v>
      </c>
      <c r="B61" s="20" t="s">
        <v>67</v>
      </c>
      <c r="C61" s="20" t="s">
        <v>27</v>
      </c>
      <c r="D61" s="20" t="n">
        <v>95</v>
      </c>
      <c r="E61" s="20" t="s">
        <v>21</v>
      </c>
      <c r="F61" s="20" t="n">
        <v>41</v>
      </c>
      <c r="G61" s="20" t="n">
        <v>45</v>
      </c>
      <c r="H61" s="20" t="n">
        <v>75</v>
      </c>
      <c r="I61" s="20" t="n">
        <v>91.1</v>
      </c>
      <c r="J61" s="20" t="n">
        <f aca="false">I61-H61</f>
        <v>16.1</v>
      </c>
      <c r="K61" s="20" t="s">
        <v>52</v>
      </c>
    </row>
    <row r="62" customFormat="false" ht="15.75" hidden="false" customHeight="true" outlineLevel="0" collapsed="false">
      <c r="A62" s="20" t="s">
        <v>66</v>
      </c>
      <c r="B62" s="20" t="s">
        <v>67</v>
      </c>
      <c r="C62" s="20" t="s">
        <v>27</v>
      </c>
      <c r="D62" s="20" t="n">
        <v>95</v>
      </c>
      <c r="E62" s="20" t="s">
        <v>22</v>
      </c>
      <c r="F62" s="20" t="n">
        <v>44</v>
      </c>
      <c r="G62" s="20" t="n">
        <v>46</v>
      </c>
      <c r="H62" s="20" t="n">
        <v>78</v>
      </c>
      <c r="I62" s="20" t="n">
        <v>95.7</v>
      </c>
      <c r="J62" s="20" t="n">
        <f aca="false">I62-H62</f>
        <v>17.7</v>
      </c>
      <c r="K62" s="20" t="s">
        <v>52</v>
      </c>
    </row>
    <row r="63" customFormat="false" ht="15.75" hidden="false" customHeight="true" outlineLevel="0" collapsed="false">
      <c r="A63" s="20" t="s">
        <v>66</v>
      </c>
      <c r="B63" s="20" t="s">
        <v>67</v>
      </c>
      <c r="C63" s="20" t="s">
        <v>27</v>
      </c>
      <c r="D63" s="20" t="n">
        <v>95</v>
      </c>
      <c r="E63" s="20" t="s">
        <v>23</v>
      </c>
      <c r="F63" s="20" t="n">
        <v>35</v>
      </c>
      <c r="G63" s="20" t="n">
        <v>38</v>
      </c>
      <c r="H63" s="20" t="n">
        <v>81</v>
      </c>
      <c r="I63" s="20" t="n">
        <v>92.1</v>
      </c>
      <c r="J63" s="20" t="n">
        <f aca="false">I63-H63</f>
        <v>11.1</v>
      </c>
      <c r="K63" s="20" t="s">
        <v>52</v>
      </c>
    </row>
    <row r="64" customFormat="false" ht="15.75" hidden="false" customHeight="true" outlineLevel="0" collapsed="false">
      <c r="A64" s="20" t="s">
        <v>66</v>
      </c>
      <c r="B64" s="20" t="s">
        <v>67</v>
      </c>
      <c r="C64" s="20" t="s">
        <v>27</v>
      </c>
      <c r="D64" s="20" t="n">
        <v>95</v>
      </c>
      <c r="E64" s="20" t="s">
        <v>24</v>
      </c>
      <c r="F64" s="20" t="n">
        <v>48</v>
      </c>
      <c r="G64" s="20" t="n">
        <v>50</v>
      </c>
      <c r="H64" s="20" t="n">
        <v>85</v>
      </c>
      <c r="I64" s="20" t="n">
        <v>96</v>
      </c>
      <c r="J64" s="20" t="n">
        <f aca="false">I64-H64</f>
        <v>11</v>
      </c>
      <c r="K64" s="20" t="s">
        <v>52</v>
      </c>
    </row>
    <row r="65" customFormat="false" ht="15.75" hidden="false" customHeight="true" outlineLevel="0" collapsed="false">
      <c r="A65" s="20" t="s">
        <v>74</v>
      </c>
      <c r="B65" s="20" t="s">
        <v>75</v>
      </c>
      <c r="C65" s="20" t="s">
        <v>27</v>
      </c>
      <c r="D65" s="20" t="n">
        <v>95</v>
      </c>
      <c r="E65" s="20" t="s">
        <v>19</v>
      </c>
      <c r="F65" s="20" t="n">
        <v>40</v>
      </c>
      <c r="G65" s="20" t="n">
        <v>50</v>
      </c>
      <c r="H65" s="20" t="n">
        <v>70</v>
      </c>
      <c r="I65" s="20" t="n">
        <v>80</v>
      </c>
      <c r="J65" s="20" t="n">
        <f aca="false">I65-H65</f>
        <v>10</v>
      </c>
      <c r="K65" s="20" t="s">
        <v>52</v>
      </c>
    </row>
    <row r="66" customFormat="false" ht="15.75" hidden="false" customHeight="true" outlineLevel="0" collapsed="false">
      <c r="A66" s="20" t="s">
        <v>74</v>
      </c>
      <c r="B66" s="20" t="s">
        <v>75</v>
      </c>
      <c r="C66" s="20" t="s">
        <v>27</v>
      </c>
      <c r="D66" s="20" t="n">
        <v>95</v>
      </c>
      <c r="E66" s="20" t="s">
        <v>21</v>
      </c>
      <c r="F66" s="20" t="n">
        <v>50</v>
      </c>
      <c r="G66" s="20" t="n">
        <v>52</v>
      </c>
      <c r="H66" s="20" t="n">
        <v>75</v>
      </c>
      <c r="I66" s="20" t="n">
        <v>96.2</v>
      </c>
      <c r="J66" s="20" t="n">
        <f aca="false">I66-H66</f>
        <v>21.2</v>
      </c>
      <c r="K66" s="20" t="s">
        <v>52</v>
      </c>
    </row>
    <row r="67" customFormat="false" ht="15.75" hidden="false" customHeight="true" outlineLevel="0" collapsed="false">
      <c r="A67" s="20" t="s">
        <v>74</v>
      </c>
      <c r="B67" s="20" t="s">
        <v>75</v>
      </c>
      <c r="C67" s="20" t="s">
        <v>27</v>
      </c>
      <c r="D67" s="20" t="n">
        <v>95</v>
      </c>
      <c r="E67" s="20" t="s">
        <v>22</v>
      </c>
      <c r="F67" s="20" t="n">
        <v>47</v>
      </c>
      <c r="G67" s="20" t="n">
        <v>50</v>
      </c>
      <c r="H67" s="20" t="n">
        <v>80</v>
      </c>
      <c r="I67" s="20" t="n">
        <v>94</v>
      </c>
      <c r="J67" s="20" t="n">
        <f aca="false">I67-H67</f>
        <v>14</v>
      </c>
      <c r="K67" s="20" t="s">
        <v>52</v>
      </c>
    </row>
    <row r="68" customFormat="false" ht="15.75" hidden="false" customHeight="true" outlineLevel="0" collapsed="false">
      <c r="A68" s="20" t="s">
        <v>74</v>
      </c>
      <c r="B68" s="20" t="s">
        <v>75</v>
      </c>
      <c r="C68" s="20" t="s">
        <v>27</v>
      </c>
      <c r="D68" s="20" t="n">
        <v>95</v>
      </c>
      <c r="E68" s="20" t="s">
        <v>23</v>
      </c>
      <c r="F68" s="20" t="n">
        <v>53</v>
      </c>
      <c r="G68" s="20" t="n">
        <v>55</v>
      </c>
      <c r="H68" s="20" t="n">
        <v>82</v>
      </c>
      <c r="I68" s="20" t="n">
        <v>96.4</v>
      </c>
      <c r="J68" s="20" t="n">
        <f aca="false">I68-H68</f>
        <v>14.4</v>
      </c>
      <c r="K68" s="20" t="s">
        <v>52</v>
      </c>
    </row>
    <row r="69" customFormat="false" ht="15.75" hidden="false" customHeight="true" outlineLevel="0" collapsed="false">
      <c r="A69" s="20" t="s">
        <v>74</v>
      </c>
      <c r="B69" s="20" t="s">
        <v>75</v>
      </c>
      <c r="C69" s="20" t="s">
        <v>27</v>
      </c>
      <c r="D69" s="20" t="n">
        <v>95</v>
      </c>
      <c r="E69" s="20" t="s">
        <v>24</v>
      </c>
      <c r="F69" s="20" t="n">
        <v>58</v>
      </c>
      <c r="G69" s="20" t="n">
        <v>60</v>
      </c>
      <c r="H69" s="20" t="n">
        <v>85</v>
      </c>
      <c r="I69" s="20" t="n">
        <v>96.7</v>
      </c>
      <c r="J69" s="20" t="n">
        <f aca="false">I69-H69</f>
        <v>11.7</v>
      </c>
      <c r="K69" s="20" t="s">
        <v>52</v>
      </c>
    </row>
    <row r="70" customFormat="false" ht="15.75" hidden="false" customHeight="true" outlineLevel="0" collapsed="false">
      <c r="A70" s="20" t="s">
        <v>76</v>
      </c>
      <c r="B70" s="20" t="s">
        <v>77</v>
      </c>
      <c r="C70" s="20" t="s">
        <v>27</v>
      </c>
      <c r="D70" s="20" t="n">
        <v>95</v>
      </c>
      <c r="E70" s="20" t="s">
        <v>19</v>
      </c>
      <c r="F70" s="20" t="n">
        <v>650</v>
      </c>
      <c r="G70" s="20" t="n">
        <v>744</v>
      </c>
      <c r="H70" s="20" t="n">
        <v>90</v>
      </c>
      <c r="I70" s="24" t="n">
        <v>87.4</v>
      </c>
      <c r="J70" s="24" t="n">
        <f aca="false">I70-H70</f>
        <v>-2.59999999999999</v>
      </c>
      <c r="K70" s="20" t="s">
        <v>53</v>
      </c>
    </row>
    <row r="71" customFormat="false" ht="15.75" hidden="false" customHeight="true" outlineLevel="0" collapsed="false">
      <c r="A71" s="20" t="s">
        <v>76</v>
      </c>
      <c r="B71" s="20" t="s">
        <v>77</v>
      </c>
      <c r="C71" s="20" t="s">
        <v>27</v>
      </c>
      <c r="D71" s="20" t="n">
        <v>95</v>
      </c>
      <c r="E71" s="20" t="s">
        <v>21</v>
      </c>
      <c r="F71" s="20" t="n">
        <v>655</v>
      </c>
      <c r="G71" s="20" t="n">
        <v>672</v>
      </c>
      <c r="H71" s="20" t="n">
        <v>92</v>
      </c>
      <c r="I71" s="24" t="n">
        <v>97.5</v>
      </c>
      <c r="J71" s="24" t="n">
        <f aca="false">I71-H71</f>
        <v>5.5</v>
      </c>
      <c r="K71" s="20" t="s">
        <v>52</v>
      </c>
    </row>
    <row r="72" customFormat="false" ht="15.75" hidden="false" customHeight="true" outlineLevel="0" collapsed="false">
      <c r="A72" s="20" t="s">
        <v>76</v>
      </c>
      <c r="B72" s="20" t="s">
        <v>77</v>
      </c>
      <c r="C72" s="20" t="s">
        <v>27</v>
      </c>
      <c r="D72" s="20" t="n">
        <v>95</v>
      </c>
      <c r="E72" s="20" t="s">
        <v>22</v>
      </c>
      <c r="F72" s="20" t="n">
        <v>718</v>
      </c>
      <c r="G72" s="20" t="n">
        <v>744</v>
      </c>
      <c r="H72" s="20" t="n">
        <v>95</v>
      </c>
      <c r="I72" s="24" t="n">
        <v>96.5</v>
      </c>
      <c r="J72" s="24" t="n">
        <f aca="false">I72-H72</f>
        <v>1.5</v>
      </c>
      <c r="K72" s="20" t="s">
        <v>52</v>
      </c>
    </row>
    <row r="73" customFormat="false" ht="15.75" hidden="false" customHeight="true" outlineLevel="0" collapsed="false">
      <c r="A73" s="20" t="s">
        <v>76</v>
      </c>
      <c r="B73" s="20" t="s">
        <v>77</v>
      </c>
      <c r="C73" s="20" t="s">
        <v>27</v>
      </c>
      <c r="D73" s="20" t="n">
        <v>95</v>
      </c>
      <c r="E73" s="20" t="s">
        <v>23</v>
      </c>
      <c r="F73" s="20" t="n">
        <v>700</v>
      </c>
      <c r="G73" s="20" t="n">
        <v>720</v>
      </c>
      <c r="H73" s="20" t="n">
        <v>96</v>
      </c>
      <c r="I73" s="24" t="n">
        <v>97.2</v>
      </c>
      <c r="J73" s="24" t="n">
        <f aca="false">I73-H73</f>
        <v>1.2</v>
      </c>
      <c r="K73" s="20" t="s">
        <v>52</v>
      </c>
    </row>
    <row r="74" customFormat="false" ht="15.75" hidden="false" customHeight="true" outlineLevel="0" collapsed="false">
      <c r="A74" s="20" t="s">
        <v>76</v>
      </c>
      <c r="B74" s="20" t="s">
        <v>77</v>
      </c>
      <c r="C74" s="20" t="s">
        <v>27</v>
      </c>
      <c r="D74" s="20" t="n">
        <v>95</v>
      </c>
      <c r="E74" s="20" t="s">
        <v>24</v>
      </c>
      <c r="F74" s="20" t="n">
        <v>722</v>
      </c>
      <c r="G74" s="20" t="n">
        <v>744</v>
      </c>
      <c r="H74" s="20" t="n">
        <v>98</v>
      </c>
      <c r="I74" s="24" t="n">
        <v>97</v>
      </c>
      <c r="J74" s="24" t="n">
        <f aca="false">I74-H74</f>
        <v>-1</v>
      </c>
      <c r="K74" s="20" t="s">
        <v>53</v>
      </c>
    </row>
    <row r="75" customFormat="false" ht="15.75" hidden="false" customHeight="true" outlineLevel="0" collapsed="false">
      <c r="A75" s="20" t="s">
        <v>78</v>
      </c>
      <c r="B75" s="20" t="s">
        <v>79</v>
      </c>
      <c r="C75" s="20" t="s">
        <v>27</v>
      </c>
      <c r="D75" s="20" t="n">
        <v>95</v>
      </c>
      <c r="E75" s="20" t="s">
        <v>19</v>
      </c>
      <c r="F75" s="20" t="n">
        <v>15</v>
      </c>
      <c r="G75" s="20" t="n">
        <v>20</v>
      </c>
      <c r="H75" s="20" t="n">
        <v>70</v>
      </c>
      <c r="I75" s="20" t="n">
        <v>75</v>
      </c>
      <c r="J75" s="20" t="n">
        <f aca="false">I75-H75</f>
        <v>5</v>
      </c>
      <c r="K75" s="20" t="s">
        <v>52</v>
      </c>
    </row>
    <row r="76" customFormat="false" ht="15.75" hidden="false" customHeight="true" outlineLevel="0" collapsed="false">
      <c r="A76" s="20" t="s">
        <v>78</v>
      </c>
      <c r="B76" s="20" t="s">
        <v>79</v>
      </c>
      <c r="C76" s="20" t="s">
        <v>27</v>
      </c>
      <c r="D76" s="20" t="n">
        <v>95</v>
      </c>
      <c r="E76" s="20" t="s">
        <v>21</v>
      </c>
      <c r="F76" s="20" t="n">
        <v>17</v>
      </c>
      <c r="G76" s="20" t="n">
        <v>19</v>
      </c>
      <c r="H76" s="20" t="n">
        <v>75</v>
      </c>
      <c r="I76" s="20" t="n">
        <v>89.5</v>
      </c>
      <c r="J76" s="20" t="n">
        <f aca="false">I76-H76</f>
        <v>14.5</v>
      </c>
      <c r="K76" s="20" t="s">
        <v>52</v>
      </c>
    </row>
    <row r="77" customFormat="false" ht="15.75" hidden="false" customHeight="true" outlineLevel="0" collapsed="false">
      <c r="A77" s="20" t="s">
        <v>78</v>
      </c>
      <c r="B77" s="20" t="s">
        <v>79</v>
      </c>
      <c r="C77" s="20" t="s">
        <v>27</v>
      </c>
      <c r="D77" s="20" t="n">
        <v>95</v>
      </c>
      <c r="E77" s="20" t="s">
        <v>22</v>
      </c>
      <c r="F77" s="20" t="n">
        <v>21</v>
      </c>
      <c r="G77" s="20" t="n">
        <v>22</v>
      </c>
      <c r="H77" s="20" t="n">
        <v>78</v>
      </c>
      <c r="I77" s="20" t="n">
        <v>95.5</v>
      </c>
      <c r="J77" s="20" t="n">
        <f aca="false">I77-H77</f>
        <v>17.5</v>
      </c>
      <c r="K77" s="20" t="s">
        <v>52</v>
      </c>
    </row>
    <row r="78" customFormat="false" ht="15.75" hidden="false" customHeight="true" outlineLevel="0" collapsed="false">
      <c r="A78" s="20" t="s">
        <v>78</v>
      </c>
      <c r="B78" s="20" t="s">
        <v>79</v>
      </c>
      <c r="C78" s="20" t="s">
        <v>27</v>
      </c>
      <c r="D78" s="20" t="n">
        <v>95</v>
      </c>
      <c r="E78" s="20" t="s">
        <v>23</v>
      </c>
      <c r="F78" s="20" t="n">
        <v>14</v>
      </c>
      <c r="G78" s="20" t="n">
        <v>16</v>
      </c>
      <c r="H78" s="20" t="n">
        <v>82</v>
      </c>
      <c r="I78" s="20" t="n">
        <v>87.5</v>
      </c>
      <c r="J78" s="20" t="n">
        <f aca="false">I78-H78</f>
        <v>5.5</v>
      </c>
      <c r="K78" s="20" t="s">
        <v>52</v>
      </c>
    </row>
    <row r="79" customFormat="false" ht="15.75" hidden="false" customHeight="true" outlineLevel="0" collapsed="false">
      <c r="A79" s="20" t="s">
        <v>78</v>
      </c>
      <c r="B79" s="20" t="s">
        <v>79</v>
      </c>
      <c r="C79" s="20" t="s">
        <v>27</v>
      </c>
      <c r="D79" s="20" t="n">
        <v>95</v>
      </c>
      <c r="E79" s="20" t="s">
        <v>24</v>
      </c>
      <c r="F79" s="20" t="n">
        <v>23</v>
      </c>
      <c r="G79" s="20" t="n">
        <v>24</v>
      </c>
      <c r="H79" s="20" t="n">
        <v>85</v>
      </c>
      <c r="I79" s="20" t="n">
        <v>95.8</v>
      </c>
      <c r="J79" s="20" t="n">
        <f aca="false">I79-H79</f>
        <v>10.8</v>
      </c>
      <c r="K79" s="20" t="s">
        <v>52</v>
      </c>
    </row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mergeCells count="8">
    <mergeCell ref="A1:N1"/>
    <mergeCell ref="A2:N2"/>
    <mergeCell ref="A21:N21"/>
    <mergeCell ref="B22:N22"/>
    <mergeCell ref="B23:N23"/>
    <mergeCell ref="B24:N24"/>
    <mergeCell ref="B25:N25"/>
    <mergeCell ref="B26:N26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7"/>
    <col collapsed="false" customWidth="true" hidden="false" outlineLevel="0" max="3" min="3" style="1" width="40.63"/>
    <col collapsed="false" customWidth="true" hidden="false" outlineLevel="0" max="9" min="9" style="1" width="22.13"/>
    <col collapsed="false" customWidth="true" hidden="false" outlineLevel="0" max="10" min="10" style="1" width="20.38"/>
  </cols>
  <sheetData>
    <row r="1" customFormat="false" ht="26.25" hidden="false" customHeight="true" outlineLevel="0" collapsed="false">
      <c r="A1" s="25" t="s">
        <v>80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customFormat="false" ht="19.5" hidden="false" customHeight="true" outlineLevel="0" collapsed="false">
      <c r="A2" s="26" t="s">
        <v>81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</row>
    <row r="3" customFormat="false" ht="19.4" hidden="false" customHeight="fals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82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</row>
    <row r="4" customFormat="false" ht="15" hidden="false" customHeight="false" outlineLevel="0" collapsed="false">
      <c r="A4" s="5" t="s">
        <v>83</v>
      </c>
      <c r="B4" s="6" t="s">
        <v>84</v>
      </c>
      <c r="C4" s="6" t="s">
        <v>85</v>
      </c>
      <c r="D4" s="5" t="s">
        <v>86</v>
      </c>
      <c r="E4" s="5" t="n">
        <v>85</v>
      </c>
      <c r="F4" s="5" t="n">
        <v>2026</v>
      </c>
      <c r="G4" s="5" t="s">
        <v>19</v>
      </c>
      <c r="H4" s="5" t="n">
        <v>2</v>
      </c>
      <c r="I4" s="5" t="n">
        <v>20</v>
      </c>
      <c r="J4" s="5" t="n">
        <v>15</v>
      </c>
      <c r="K4" s="5" t="n">
        <v>10</v>
      </c>
      <c r="L4" s="8" t="n">
        <v>-5</v>
      </c>
      <c r="M4" s="14" t="n">
        <f aca="false">(K4/J4)*100</f>
        <v>66.6666666666667</v>
      </c>
      <c r="N4" s="27" t="s">
        <v>87</v>
      </c>
    </row>
    <row r="5" customFormat="false" ht="15" hidden="false" customHeight="false" outlineLevel="0" collapsed="false">
      <c r="A5" s="11" t="s">
        <v>83</v>
      </c>
      <c r="B5" s="12" t="s">
        <v>84</v>
      </c>
      <c r="C5" s="12" t="s">
        <v>85</v>
      </c>
      <c r="D5" s="11" t="s">
        <v>86</v>
      </c>
      <c r="E5" s="11" t="n">
        <v>85</v>
      </c>
      <c r="F5" s="11" t="n">
        <v>2026</v>
      </c>
      <c r="G5" s="11" t="s">
        <v>21</v>
      </c>
      <c r="H5" s="11" t="n">
        <v>3</v>
      </c>
      <c r="I5" s="11" t="n">
        <v>20</v>
      </c>
      <c r="J5" s="11" t="n">
        <v>25</v>
      </c>
      <c r="K5" s="11" t="n">
        <v>15</v>
      </c>
      <c r="L5" s="14" t="n">
        <v>-10</v>
      </c>
      <c r="M5" s="14" t="n">
        <f aca="false">(K5/J5)*100</f>
        <v>60</v>
      </c>
      <c r="N5" s="27" t="s">
        <v>87</v>
      </c>
    </row>
    <row r="6" customFormat="false" ht="15" hidden="false" customHeight="false" outlineLevel="0" collapsed="false">
      <c r="A6" s="5" t="s">
        <v>83</v>
      </c>
      <c r="B6" s="6" t="s">
        <v>84</v>
      </c>
      <c r="C6" s="6" t="s">
        <v>85</v>
      </c>
      <c r="D6" s="5" t="s">
        <v>86</v>
      </c>
      <c r="E6" s="5" t="n">
        <v>85</v>
      </c>
      <c r="F6" s="5" t="n">
        <v>2026</v>
      </c>
      <c r="G6" s="5" t="s">
        <v>22</v>
      </c>
      <c r="H6" s="5" t="n">
        <v>4</v>
      </c>
      <c r="I6" s="5" t="n">
        <v>18</v>
      </c>
      <c r="J6" s="5" t="n">
        <v>35</v>
      </c>
      <c r="K6" s="5" t="n">
        <v>22</v>
      </c>
      <c r="L6" s="8" t="n">
        <v>-13</v>
      </c>
      <c r="M6" s="14" t="n">
        <f aca="false">(K6/J6)*100</f>
        <v>62.8571428571429</v>
      </c>
      <c r="N6" s="27" t="s">
        <v>87</v>
      </c>
    </row>
    <row r="7" customFormat="false" ht="15" hidden="false" customHeight="false" outlineLevel="0" collapsed="false">
      <c r="A7" s="11" t="s">
        <v>83</v>
      </c>
      <c r="B7" s="12" t="s">
        <v>84</v>
      </c>
      <c r="C7" s="12" t="s">
        <v>85</v>
      </c>
      <c r="D7" s="11" t="s">
        <v>86</v>
      </c>
      <c r="E7" s="11" t="n">
        <v>85</v>
      </c>
      <c r="F7" s="11" t="n">
        <v>2026</v>
      </c>
      <c r="G7" s="11" t="s">
        <v>23</v>
      </c>
      <c r="H7" s="11" t="n">
        <v>7</v>
      </c>
      <c r="I7" s="11" t="n">
        <v>20</v>
      </c>
      <c r="J7" s="11" t="n">
        <v>45</v>
      </c>
      <c r="K7" s="11" t="n">
        <v>35</v>
      </c>
      <c r="L7" s="14" t="n">
        <v>-10</v>
      </c>
      <c r="M7" s="14" t="n">
        <f aca="false">(K7/J7)*100</f>
        <v>77.7777777777778</v>
      </c>
      <c r="N7" s="16" t="s">
        <v>28</v>
      </c>
    </row>
    <row r="8" customFormat="false" ht="15" hidden="false" customHeight="false" outlineLevel="0" collapsed="false">
      <c r="A8" s="5" t="s">
        <v>83</v>
      </c>
      <c r="B8" s="6" t="s">
        <v>84</v>
      </c>
      <c r="C8" s="6" t="s">
        <v>85</v>
      </c>
      <c r="D8" s="5" t="s">
        <v>86</v>
      </c>
      <c r="E8" s="5" t="n">
        <v>85</v>
      </c>
      <c r="F8" s="5" t="n">
        <v>2026</v>
      </c>
      <c r="G8" s="5" t="s">
        <v>24</v>
      </c>
      <c r="H8" s="5" t="n">
        <v>8</v>
      </c>
      <c r="I8" s="5" t="n">
        <v>20</v>
      </c>
      <c r="J8" s="5" t="n">
        <v>55</v>
      </c>
      <c r="K8" s="5" t="n">
        <v>40</v>
      </c>
      <c r="L8" s="8" t="n">
        <v>-15</v>
      </c>
      <c r="M8" s="14" t="n">
        <f aca="false">(K8/J8)*100</f>
        <v>72.7272727272727</v>
      </c>
      <c r="N8" s="27" t="s">
        <v>87</v>
      </c>
    </row>
    <row r="9" customFormat="false" ht="15" hidden="false" customHeight="false" outlineLevel="0" collapsed="false">
      <c r="A9" s="11" t="s">
        <v>83</v>
      </c>
      <c r="B9" s="12" t="s">
        <v>84</v>
      </c>
      <c r="C9" s="12" t="s">
        <v>85</v>
      </c>
      <c r="D9" s="11" t="s">
        <v>86</v>
      </c>
      <c r="E9" s="11" t="n">
        <v>85</v>
      </c>
      <c r="F9" s="11" t="n">
        <v>2026</v>
      </c>
      <c r="G9" s="11" t="s">
        <v>88</v>
      </c>
      <c r="H9" s="11" t="n">
        <v>12</v>
      </c>
      <c r="I9" s="11" t="n">
        <v>25</v>
      </c>
      <c r="J9" s="11" t="n">
        <v>65</v>
      </c>
      <c r="K9" s="11" t="n">
        <v>48</v>
      </c>
      <c r="L9" s="14" t="n">
        <v>-17</v>
      </c>
      <c r="M9" s="14" t="n">
        <f aca="false">(K9/J9)*100</f>
        <v>73.8461538461539</v>
      </c>
      <c r="N9" s="27" t="s">
        <v>87</v>
      </c>
    </row>
    <row r="10" customFormat="false" ht="15" hidden="false" customHeight="false" outlineLevel="0" collapsed="false">
      <c r="A10" s="5" t="s">
        <v>83</v>
      </c>
      <c r="B10" s="6" t="s">
        <v>84</v>
      </c>
      <c r="C10" s="6" t="s">
        <v>85</v>
      </c>
      <c r="D10" s="5" t="s">
        <v>86</v>
      </c>
      <c r="E10" s="5" t="n">
        <v>85</v>
      </c>
      <c r="F10" s="5" t="n">
        <v>2026</v>
      </c>
      <c r="G10" s="28" t="s">
        <v>89</v>
      </c>
      <c r="H10" s="5" t="n">
        <v>17</v>
      </c>
      <c r="I10" s="5" t="n">
        <v>25</v>
      </c>
      <c r="J10" s="5" t="n">
        <v>75</v>
      </c>
      <c r="K10" s="5" t="n">
        <v>68</v>
      </c>
      <c r="L10" s="8" t="n">
        <v>-7</v>
      </c>
      <c r="M10" s="14" t="n">
        <f aca="false">(K10/J10)*100</f>
        <v>90.6666666666667</v>
      </c>
      <c r="N10" s="16" t="s">
        <v>28</v>
      </c>
    </row>
    <row r="11" customFormat="false" ht="15" hidden="false" customHeight="false" outlineLevel="0" collapsed="false">
      <c r="A11" s="11" t="s">
        <v>83</v>
      </c>
      <c r="B11" s="12" t="s">
        <v>84</v>
      </c>
      <c r="C11" s="12" t="s">
        <v>85</v>
      </c>
      <c r="D11" s="11" t="s">
        <v>86</v>
      </c>
      <c r="E11" s="11" t="n">
        <v>85</v>
      </c>
      <c r="F11" s="11" t="n">
        <v>2026</v>
      </c>
      <c r="G11" s="28" t="s">
        <v>90</v>
      </c>
      <c r="H11" s="11" t="n">
        <v>20</v>
      </c>
      <c r="I11" s="11" t="n">
        <v>23</v>
      </c>
      <c r="J11" s="11" t="n">
        <v>85</v>
      </c>
      <c r="K11" s="11" t="n">
        <v>87</v>
      </c>
      <c r="L11" s="14" t="n">
        <v>2</v>
      </c>
      <c r="M11" s="14" t="n">
        <f aca="false">(K11/J11)*100</f>
        <v>102.352941176471</v>
      </c>
      <c r="N11" s="10" t="s">
        <v>20</v>
      </c>
    </row>
    <row r="12" customFormat="false" ht="15" hidden="false" customHeight="false" outlineLevel="0" collapsed="false">
      <c r="A12" s="5" t="s">
        <v>91</v>
      </c>
      <c r="B12" s="6" t="s">
        <v>92</v>
      </c>
      <c r="C12" s="6" t="s">
        <v>93</v>
      </c>
      <c r="D12" s="5" t="s">
        <v>86</v>
      </c>
      <c r="E12" s="5" t="n">
        <v>85</v>
      </c>
      <c r="F12" s="5" t="n">
        <v>2026</v>
      </c>
      <c r="G12" s="5" t="s">
        <v>19</v>
      </c>
      <c r="H12" s="5" t="n">
        <v>7</v>
      </c>
      <c r="I12" s="5" t="n">
        <v>12</v>
      </c>
      <c r="J12" s="5" t="n">
        <v>30</v>
      </c>
      <c r="K12" s="5" t="n">
        <v>58</v>
      </c>
      <c r="L12" s="8" t="n">
        <v>28</v>
      </c>
      <c r="M12" s="14" t="n">
        <f aca="false">(K12/J12)*100</f>
        <v>193.333333333333</v>
      </c>
      <c r="N12" s="10" t="s">
        <v>20</v>
      </c>
    </row>
    <row r="13" customFormat="false" ht="15" hidden="false" customHeight="false" outlineLevel="0" collapsed="false">
      <c r="A13" s="11" t="s">
        <v>91</v>
      </c>
      <c r="B13" s="12" t="s">
        <v>92</v>
      </c>
      <c r="C13" s="12" t="s">
        <v>93</v>
      </c>
      <c r="D13" s="11" t="s">
        <v>86</v>
      </c>
      <c r="E13" s="11" t="n">
        <v>85</v>
      </c>
      <c r="F13" s="11" t="n">
        <v>2026</v>
      </c>
      <c r="G13" s="11" t="s">
        <v>21</v>
      </c>
      <c r="H13" s="11" t="n">
        <v>10</v>
      </c>
      <c r="I13" s="11" t="n">
        <v>15</v>
      </c>
      <c r="J13" s="11" t="n">
        <v>40</v>
      </c>
      <c r="K13" s="11" t="n">
        <v>67</v>
      </c>
      <c r="L13" s="14" t="n">
        <v>27</v>
      </c>
      <c r="M13" s="14" t="n">
        <f aca="false">(K13/J13)*100</f>
        <v>167.5</v>
      </c>
      <c r="N13" s="10" t="s">
        <v>20</v>
      </c>
    </row>
    <row r="14" customFormat="false" ht="15" hidden="false" customHeight="false" outlineLevel="0" collapsed="false">
      <c r="A14" s="5" t="s">
        <v>91</v>
      </c>
      <c r="B14" s="6" t="s">
        <v>92</v>
      </c>
      <c r="C14" s="6" t="s">
        <v>93</v>
      </c>
      <c r="D14" s="5" t="s">
        <v>86</v>
      </c>
      <c r="E14" s="5" t="n">
        <v>85</v>
      </c>
      <c r="F14" s="5" t="n">
        <v>2026</v>
      </c>
      <c r="G14" s="5" t="s">
        <v>22</v>
      </c>
      <c r="H14" s="5" t="n">
        <v>11</v>
      </c>
      <c r="I14" s="5" t="n">
        <v>14</v>
      </c>
      <c r="J14" s="5" t="n">
        <v>55</v>
      </c>
      <c r="K14" s="5" t="n">
        <v>79</v>
      </c>
      <c r="L14" s="8" t="n">
        <v>24</v>
      </c>
      <c r="M14" s="14" t="n">
        <f aca="false">(K14/J14)*100</f>
        <v>143.636363636364</v>
      </c>
      <c r="N14" s="10" t="s">
        <v>20</v>
      </c>
    </row>
    <row r="15" customFormat="false" ht="15" hidden="false" customHeight="false" outlineLevel="0" collapsed="false">
      <c r="A15" s="11" t="s">
        <v>91</v>
      </c>
      <c r="B15" s="12" t="s">
        <v>92</v>
      </c>
      <c r="C15" s="12" t="s">
        <v>93</v>
      </c>
      <c r="D15" s="11" t="s">
        <v>86</v>
      </c>
      <c r="E15" s="11" t="n">
        <v>85</v>
      </c>
      <c r="F15" s="11" t="n">
        <v>2026</v>
      </c>
      <c r="G15" s="11" t="s">
        <v>23</v>
      </c>
      <c r="H15" s="11" t="n">
        <v>13</v>
      </c>
      <c r="I15" s="11" t="n">
        <v>16</v>
      </c>
      <c r="J15" s="11" t="n">
        <v>65</v>
      </c>
      <c r="K15" s="11" t="n">
        <v>81</v>
      </c>
      <c r="L15" s="14" t="n">
        <v>16</v>
      </c>
      <c r="M15" s="14" t="n">
        <f aca="false">(K15/J15)*100</f>
        <v>124.615384615385</v>
      </c>
      <c r="N15" s="10" t="s">
        <v>20</v>
      </c>
    </row>
    <row r="16" customFormat="false" ht="15" hidden="false" customHeight="false" outlineLevel="0" collapsed="false">
      <c r="A16" s="5" t="s">
        <v>91</v>
      </c>
      <c r="B16" s="6" t="s">
        <v>92</v>
      </c>
      <c r="C16" s="6" t="s">
        <v>93</v>
      </c>
      <c r="D16" s="5" t="s">
        <v>86</v>
      </c>
      <c r="E16" s="5" t="n">
        <v>85</v>
      </c>
      <c r="F16" s="5" t="n">
        <v>2026</v>
      </c>
      <c r="G16" s="5" t="s">
        <v>24</v>
      </c>
      <c r="H16" s="5" t="n">
        <v>16</v>
      </c>
      <c r="I16" s="5" t="n">
        <v>18</v>
      </c>
      <c r="J16" s="5" t="n">
        <v>75</v>
      </c>
      <c r="K16" s="5" t="n">
        <v>89</v>
      </c>
      <c r="L16" s="8" t="n">
        <v>14</v>
      </c>
      <c r="M16" s="14" t="n">
        <f aca="false">(K16/J16)*100</f>
        <v>118.666666666667</v>
      </c>
      <c r="N16" s="10" t="s">
        <v>20</v>
      </c>
    </row>
    <row r="17" customFormat="false" ht="15" hidden="false" customHeight="false" outlineLevel="0" collapsed="false">
      <c r="A17" s="11" t="s">
        <v>91</v>
      </c>
      <c r="B17" s="12" t="s">
        <v>92</v>
      </c>
      <c r="C17" s="12" t="s">
        <v>93</v>
      </c>
      <c r="D17" s="11" t="s">
        <v>86</v>
      </c>
      <c r="E17" s="11" t="n">
        <v>85</v>
      </c>
      <c r="F17" s="11" t="n">
        <v>2026</v>
      </c>
      <c r="G17" s="11" t="s">
        <v>88</v>
      </c>
      <c r="H17" s="11" t="n">
        <v>19</v>
      </c>
      <c r="I17" s="11" t="n">
        <v>20</v>
      </c>
      <c r="J17" s="11" t="n">
        <v>85</v>
      </c>
      <c r="K17" s="11" t="n">
        <v>95</v>
      </c>
      <c r="L17" s="14" t="n">
        <v>10</v>
      </c>
      <c r="M17" s="14" t="n">
        <f aca="false">(K17/J17)*100</f>
        <v>111.764705882353</v>
      </c>
      <c r="N17" s="10" t="s">
        <v>20</v>
      </c>
    </row>
    <row r="18" customFormat="false" ht="15" hidden="false" customHeight="false" outlineLevel="0" collapsed="false">
      <c r="A18" s="5" t="s">
        <v>91</v>
      </c>
      <c r="B18" s="6" t="s">
        <v>92</v>
      </c>
      <c r="C18" s="6" t="s">
        <v>93</v>
      </c>
      <c r="D18" s="5" t="s">
        <v>86</v>
      </c>
      <c r="E18" s="5" t="n">
        <v>85</v>
      </c>
      <c r="F18" s="5" t="n">
        <v>2026</v>
      </c>
      <c r="G18" s="28" t="s">
        <v>89</v>
      </c>
      <c r="H18" s="5" t="n">
        <v>21</v>
      </c>
      <c r="I18" s="5" t="n">
        <v>24</v>
      </c>
      <c r="J18" s="5" t="n">
        <v>85</v>
      </c>
      <c r="K18" s="5" t="n">
        <v>88</v>
      </c>
      <c r="L18" s="8" t="n">
        <v>3</v>
      </c>
      <c r="M18" s="14" t="n">
        <f aca="false">(K18/J18)*100</f>
        <v>103.529411764706</v>
      </c>
      <c r="N18" s="10" t="s">
        <v>20</v>
      </c>
    </row>
    <row r="19" customFormat="false" ht="15" hidden="false" customHeight="false" outlineLevel="0" collapsed="false">
      <c r="A19" s="11" t="s">
        <v>91</v>
      </c>
      <c r="B19" s="12" t="s">
        <v>92</v>
      </c>
      <c r="C19" s="12" t="s">
        <v>93</v>
      </c>
      <c r="D19" s="11" t="s">
        <v>86</v>
      </c>
      <c r="E19" s="11" t="n">
        <v>85</v>
      </c>
      <c r="F19" s="11" t="n">
        <v>2026</v>
      </c>
      <c r="G19" s="28" t="s">
        <v>90</v>
      </c>
      <c r="H19" s="11" t="n">
        <v>23</v>
      </c>
      <c r="I19" s="11" t="n">
        <v>25</v>
      </c>
      <c r="J19" s="11" t="n">
        <v>85</v>
      </c>
      <c r="K19" s="11" t="n">
        <v>92</v>
      </c>
      <c r="L19" s="14" t="n">
        <v>7</v>
      </c>
      <c r="M19" s="14" t="n">
        <f aca="false">(K19/J19)*100</f>
        <v>108.235294117647</v>
      </c>
      <c r="N19" s="10" t="s">
        <v>20</v>
      </c>
    </row>
    <row r="20" customFormat="false" ht="15" hidden="false" customHeight="false" outlineLevel="0" collapsed="false">
      <c r="A20" s="5" t="s">
        <v>94</v>
      </c>
      <c r="B20" s="6" t="s">
        <v>95</v>
      </c>
      <c r="C20" s="6" t="s">
        <v>96</v>
      </c>
      <c r="D20" s="5" t="s">
        <v>18</v>
      </c>
      <c r="E20" s="5" t="n">
        <v>90</v>
      </c>
      <c r="F20" s="5" t="n">
        <v>2026</v>
      </c>
      <c r="G20" s="5" t="s">
        <v>19</v>
      </c>
      <c r="H20" s="5" t="n">
        <v>19</v>
      </c>
      <c r="I20" s="5" t="n">
        <v>50</v>
      </c>
      <c r="J20" s="5" t="n">
        <v>20</v>
      </c>
      <c r="K20" s="5" t="n">
        <v>38</v>
      </c>
      <c r="L20" s="8" t="n">
        <v>18</v>
      </c>
      <c r="M20" s="14" t="n">
        <f aca="false">(K20/J20)*100</f>
        <v>190</v>
      </c>
      <c r="N20" s="10" t="s">
        <v>20</v>
      </c>
    </row>
    <row r="21" customFormat="false" ht="15" hidden="false" customHeight="false" outlineLevel="0" collapsed="false">
      <c r="A21" s="11" t="s">
        <v>94</v>
      </c>
      <c r="B21" s="12" t="s">
        <v>95</v>
      </c>
      <c r="C21" s="12" t="s">
        <v>96</v>
      </c>
      <c r="D21" s="11" t="s">
        <v>18</v>
      </c>
      <c r="E21" s="11" t="n">
        <v>90</v>
      </c>
      <c r="F21" s="11" t="n">
        <v>2026</v>
      </c>
      <c r="G21" s="11" t="s">
        <v>21</v>
      </c>
      <c r="H21" s="11" t="n">
        <v>21</v>
      </c>
      <c r="I21" s="11" t="n">
        <v>50</v>
      </c>
      <c r="J21" s="11" t="n">
        <v>30</v>
      </c>
      <c r="K21" s="11" t="n">
        <v>42</v>
      </c>
      <c r="L21" s="14" t="n">
        <v>12</v>
      </c>
      <c r="M21" s="14" t="n">
        <f aca="false">(K21/J21)*100</f>
        <v>140</v>
      </c>
      <c r="N21" s="10" t="s">
        <v>20</v>
      </c>
    </row>
    <row r="22" customFormat="false" ht="15" hidden="false" customHeight="false" outlineLevel="0" collapsed="false">
      <c r="A22" s="5" t="s">
        <v>94</v>
      </c>
      <c r="B22" s="6" t="s">
        <v>95</v>
      </c>
      <c r="C22" s="6" t="s">
        <v>96</v>
      </c>
      <c r="D22" s="5" t="s">
        <v>18</v>
      </c>
      <c r="E22" s="5" t="n">
        <v>90</v>
      </c>
      <c r="F22" s="5" t="n">
        <v>2026</v>
      </c>
      <c r="G22" s="5" t="s">
        <v>22</v>
      </c>
      <c r="H22" s="5" t="n">
        <v>22</v>
      </c>
      <c r="I22" s="5" t="n">
        <v>49</v>
      </c>
      <c r="J22" s="5" t="n">
        <v>40</v>
      </c>
      <c r="K22" s="5" t="n">
        <v>45</v>
      </c>
      <c r="L22" s="8" t="n">
        <v>5</v>
      </c>
      <c r="M22" s="14" t="n">
        <f aca="false">(K22/J22)*100</f>
        <v>112.5</v>
      </c>
      <c r="N22" s="10" t="s">
        <v>20</v>
      </c>
    </row>
    <row r="23" customFormat="false" ht="15" hidden="false" customHeight="false" outlineLevel="0" collapsed="false">
      <c r="A23" s="11" t="s">
        <v>94</v>
      </c>
      <c r="B23" s="12" t="s">
        <v>95</v>
      </c>
      <c r="C23" s="12" t="s">
        <v>96</v>
      </c>
      <c r="D23" s="11" t="s">
        <v>18</v>
      </c>
      <c r="E23" s="11" t="n">
        <v>90</v>
      </c>
      <c r="F23" s="11" t="n">
        <v>2026</v>
      </c>
      <c r="G23" s="11" t="s">
        <v>23</v>
      </c>
      <c r="H23" s="11" t="n">
        <v>24</v>
      </c>
      <c r="I23" s="11" t="n">
        <v>50</v>
      </c>
      <c r="J23" s="11" t="n">
        <v>50</v>
      </c>
      <c r="K23" s="11" t="n">
        <v>48</v>
      </c>
      <c r="L23" s="14" t="n">
        <v>-2</v>
      </c>
      <c r="M23" s="14" t="n">
        <f aca="false">(K23/J23)*100</f>
        <v>96</v>
      </c>
      <c r="N23" s="10" t="s">
        <v>20</v>
      </c>
    </row>
    <row r="24" customFormat="false" ht="15" hidden="false" customHeight="false" outlineLevel="0" collapsed="false">
      <c r="A24" s="5" t="s">
        <v>94</v>
      </c>
      <c r="B24" s="6" t="s">
        <v>95</v>
      </c>
      <c r="C24" s="6" t="s">
        <v>96</v>
      </c>
      <c r="D24" s="5" t="s">
        <v>18</v>
      </c>
      <c r="E24" s="5" t="n">
        <v>90</v>
      </c>
      <c r="F24" s="5" t="n">
        <v>2026</v>
      </c>
      <c r="G24" s="5" t="s">
        <v>24</v>
      </c>
      <c r="H24" s="5" t="n">
        <v>30</v>
      </c>
      <c r="I24" s="5" t="n">
        <v>55</v>
      </c>
      <c r="J24" s="5" t="n">
        <v>60</v>
      </c>
      <c r="K24" s="5" t="n">
        <v>55</v>
      </c>
      <c r="L24" s="8" t="n">
        <v>-5</v>
      </c>
      <c r="M24" s="14" t="n">
        <f aca="false">(K24/J24)*100</f>
        <v>91.6666666666667</v>
      </c>
      <c r="N24" s="16" t="s">
        <v>28</v>
      </c>
    </row>
    <row r="25" customFormat="false" ht="15" hidden="false" customHeight="false" outlineLevel="0" collapsed="false">
      <c r="A25" s="11" t="s">
        <v>94</v>
      </c>
      <c r="B25" s="12" t="s">
        <v>95</v>
      </c>
      <c r="C25" s="12" t="s">
        <v>96</v>
      </c>
      <c r="D25" s="11" t="s">
        <v>18</v>
      </c>
      <c r="E25" s="11" t="n">
        <v>90</v>
      </c>
      <c r="F25" s="11" t="n">
        <v>2026</v>
      </c>
      <c r="G25" s="11" t="s">
        <v>88</v>
      </c>
      <c r="H25" s="11" t="n">
        <v>39</v>
      </c>
      <c r="I25" s="11" t="n">
        <v>63</v>
      </c>
      <c r="J25" s="11" t="n">
        <v>75</v>
      </c>
      <c r="K25" s="11" t="n">
        <v>62</v>
      </c>
      <c r="L25" s="14" t="n">
        <v>-13</v>
      </c>
      <c r="M25" s="14" t="n">
        <f aca="false">(K25/J25)*100</f>
        <v>82.6666666666667</v>
      </c>
      <c r="N25" s="16" t="s">
        <v>28</v>
      </c>
    </row>
    <row r="26" customFormat="false" ht="15" hidden="false" customHeight="false" outlineLevel="0" collapsed="false">
      <c r="A26" s="5" t="s">
        <v>94</v>
      </c>
      <c r="B26" s="6" t="s">
        <v>95</v>
      </c>
      <c r="C26" s="6" t="s">
        <v>96</v>
      </c>
      <c r="D26" s="5" t="s">
        <v>18</v>
      </c>
      <c r="E26" s="5" t="n">
        <v>90</v>
      </c>
      <c r="F26" s="5" t="n">
        <v>2026</v>
      </c>
      <c r="G26" s="28" t="s">
        <v>89</v>
      </c>
      <c r="H26" s="5" t="n">
        <v>47</v>
      </c>
      <c r="I26" s="5" t="n">
        <v>60</v>
      </c>
      <c r="J26" s="5" t="n">
        <v>85</v>
      </c>
      <c r="K26" s="5" t="n">
        <v>78</v>
      </c>
      <c r="L26" s="8" t="n">
        <v>-7</v>
      </c>
      <c r="M26" s="14" t="n">
        <f aca="false">(K26/J26)*100</f>
        <v>91.7647058823529</v>
      </c>
      <c r="N26" s="16" t="s">
        <v>28</v>
      </c>
    </row>
    <row r="27" customFormat="false" ht="15" hidden="false" customHeight="false" outlineLevel="0" collapsed="false">
      <c r="A27" s="11" t="s">
        <v>94</v>
      </c>
      <c r="B27" s="12" t="s">
        <v>95</v>
      </c>
      <c r="C27" s="12" t="s">
        <v>96</v>
      </c>
      <c r="D27" s="11" t="s">
        <v>18</v>
      </c>
      <c r="E27" s="11" t="n">
        <v>90</v>
      </c>
      <c r="F27" s="11" t="n">
        <v>2026</v>
      </c>
      <c r="G27" s="28" t="s">
        <v>90</v>
      </c>
      <c r="H27" s="11" t="n">
        <v>55</v>
      </c>
      <c r="I27" s="11" t="n">
        <v>60</v>
      </c>
      <c r="J27" s="11" t="n">
        <v>90</v>
      </c>
      <c r="K27" s="11" t="n">
        <v>92</v>
      </c>
      <c r="L27" s="14" t="n">
        <v>2</v>
      </c>
      <c r="M27" s="14" t="n">
        <f aca="false">(K27/J27)*100</f>
        <v>102.222222222222</v>
      </c>
      <c r="N27" s="10" t="s">
        <v>20</v>
      </c>
    </row>
    <row r="28" customFormat="false" ht="15" hidden="false" customHeight="false" outlineLevel="0" collapsed="false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</row>
    <row r="29" customFormat="false" ht="15" hidden="false" customHeight="false" outlineLevel="0" collapsed="false">
      <c r="A29" s="17" t="s">
        <v>31</v>
      </c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</row>
    <row r="30" customFormat="false" ht="15" hidden="false" customHeight="true" outlineLevel="0" collapsed="false">
      <c r="A30" s="21" t="s">
        <v>32</v>
      </c>
      <c r="B30" s="19" t="s">
        <v>33</v>
      </c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</row>
    <row r="31" customFormat="false" ht="15" hidden="false" customHeight="true" outlineLevel="0" collapsed="false">
      <c r="A31" s="21" t="s">
        <v>34</v>
      </c>
      <c r="B31" s="19" t="s">
        <v>35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</row>
    <row r="32" customFormat="false" ht="15" hidden="false" customHeight="true" outlineLevel="0" collapsed="false">
      <c r="A32" s="21" t="s">
        <v>68</v>
      </c>
      <c r="B32" s="19" t="s">
        <v>37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</row>
    <row r="33" customFormat="false" ht="15" hidden="false" customHeight="true" outlineLevel="0" collapsed="false">
      <c r="A33" s="21" t="s">
        <v>38</v>
      </c>
      <c r="B33" s="19" t="s">
        <v>39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</row>
  </sheetData>
  <mergeCells count="7">
    <mergeCell ref="A1:N1"/>
    <mergeCell ref="A2:N2"/>
    <mergeCell ref="A29:N29"/>
    <mergeCell ref="B30:N30"/>
    <mergeCell ref="B31:N31"/>
    <mergeCell ref="B32:N32"/>
    <mergeCell ref="B33:N3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es-PE</dc:language>
  <cp:lastModifiedBy/>
  <dcterms:modified xsi:type="dcterms:W3CDTF">2026-06-09T11:27:16Z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